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anis\Documents\UTC\TheseFeruglio\DonneesCompletes\DonneesPropres\"/>
    </mc:Choice>
  </mc:AlternateContent>
  <xr:revisionPtr revIDLastSave="0" documentId="8_{013FC07D-97E2-4AE2-976D-7BC272BA7F48}" xr6:coauthVersionLast="36" xr6:coauthVersionMax="36" xr10:uidLastSave="{00000000-0000-0000-0000-000000000000}"/>
  <bookViews>
    <workbookView xWindow="-120" yWindow="-120" windowWidth="29040" windowHeight="15720" tabRatio="1000" firstSheet="3" activeTab="3" xr2:uid="{00000000-000D-0000-FFFF-FFFF00000000}"/>
  </bookViews>
  <sheets>
    <sheet name="Feuil1" sheetId="1" r:id="rId1"/>
    <sheet name="albumine" sheetId="2" r:id="rId2"/>
    <sheet name="cristalloide" sheetId="3" r:id="rId3"/>
    <sheet name="NR (seuil 15%)" sheetId="5" r:id="rId4"/>
    <sheet name="R (seuil 15%)" sheetId="6" r:id="rId5"/>
    <sheet name="R (seuil 15PU)" sheetId="8" r:id="rId6"/>
    <sheet name="NR (seuil 15PU)" sheetId="7" r:id="rId7"/>
  </sheets>
  <definedNames>
    <definedName name="_xlnm._FilterDatabase" localSheetId="1" hidden="1">albumine!$A$1:$HR$1</definedName>
    <definedName name="_xlnm._FilterDatabase" localSheetId="2" hidden="1">cristalloide!$A$1:$HO$1</definedName>
    <definedName name="_xlnm._FilterDatabase" localSheetId="0" hidden="1">Feuil1!$C$1:$C$62</definedName>
    <definedName name="_xlnm._FilterDatabase" localSheetId="3" hidden="1">'NR (seuil 15%)'!$A$2:$HV$2</definedName>
    <definedName name="_xlnm._FilterDatabase" localSheetId="6" hidden="1">'NR (seuil 15PU)'!$A$2:$HW$2</definedName>
    <definedName name="_xlnm._FilterDatabase" localSheetId="4" hidden="1">'R (seuil 15%)'!$A$2:$HX$2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U13" i="5" l="1"/>
  <c r="HV13" i="5" s="1"/>
  <c r="HS13" i="5"/>
  <c r="HT13" i="5" s="1"/>
  <c r="HR13" i="5"/>
  <c r="HP13" i="5"/>
  <c r="HQ13" i="5" s="1"/>
  <c r="HM13" i="5"/>
  <c r="HN13" i="5" s="1"/>
  <c r="HK13" i="5"/>
  <c r="HL13" i="5" s="1"/>
  <c r="G13" i="5"/>
  <c r="H13" i="5" s="1"/>
  <c r="IH111" i="1"/>
  <c r="IH110" i="1"/>
  <c r="IH109" i="1"/>
  <c r="J19" i="5"/>
  <c r="J18" i="5"/>
  <c r="J17" i="5"/>
  <c r="D33" i="6"/>
  <c r="D32" i="6"/>
  <c r="D31" i="6"/>
  <c r="D25" i="7"/>
  <c r="D24" i="7"/>
  <c r="D23" i="7"/>
  <c r="CB33" i="6"/>
  <c r="CB32" i="6"/>
  <c r="CB31" i="6"/>
  <c r="HO13" i="5" l="1"/>
  <c r="GF19" i="5"/>
  <c r="GF18" i="5"/>
  <c r="GF17" i="5"/>
  <c r="GE19" i="5"/>
  <c r="GE18" i="5"/>
  <c r="GE17" i="5"/>
  <c r="FV19" i="5"/>
  <c r="FW19" i="5"/>
  <c r="FW17" i="5"/>
  <c r="FV18" i="5"/>
  <c r="FW18" i="5"/>
  <c r="FV17" i="5"/>
  <c r="FU19" i="5"/>
  <c r="FU18" i="5"/>
  <c r="FU17" i="5"/>
  <c r="FO19" i="5"/>
  <c r="FO18" i="5"/>
  <c r="FO17" i="5"/>
  <c r="FN19" i="5"/>
  <c r="FN18" i="5"/>
  <c r="FN17" i="5"/>
  <c r="FJ19" i="5"/>
  <c r="FK19" i="5"/>
  <c r="FJ18" i="5"/>
  <c r="FK18" i="5"/>
  <c r="FJ17" i="5"/>
  <c r="FK17" i="5"/>
  <c r="FI19" i="5"/>
  <c r="FI18" i="5"/>
  <c r="FI17" i="5"/>
  <c r="FC19" i="5"/>
  <c r="FC18" i="5"/>
  <c r="FC17" i="5"/>
  <c r="FB19" i="5"/>
  <c r="FB18" i="5"/>
  <c r="FB17" i="5"/>
  <c r="EX19" i="5"/>
  <c r="EY19" i="5"/>
  <c r="EX18" i="5"/>
  <c r="EY18" i="5"/>
  <c r="EX17" i="5"/>
  <c r="EY17" i="5"/>
  <c r="EW19" i="5"/>
  <c r="EW18" i="5"/>
  <c r="EW17" i="5"/>
  <c r="HE33" i="6"/>
  <c r="HE32" i="6"/>
  <c r="HE31" i="6"/>
  <c r="HD33" i="6"/>
  <c r="HD32" i="6"/>
  <c r="HD31" i="6"/>
  <c r="GZ33" i="6"/>
  <c r="HA33" i="6"/>
  <c r="GZ32" i="6"/>
  <c r="HA32" i="6"/>
  <c r="GZ31" i="6"/>
  <c r="HA31" i="6"/>
  <c r="GY33" i="6"/>
  <c r="GY32" i="6"/>
  <c r="GY31" i="6"/>
  <c r="GG33" i="6"/>
  <c r="GG32" i="6"/>
  <c r="GG31" i="6"/>
  <c r="GF33" i="6"/>
  <c r="GF32" i="6"/>
  <c r="GF31" i="6"/>
  <c r="FW33" i="6"/>
  <c r="FX33" i="6"/>
  <c r="FX32" i="6"/>
  <c r="FX31" i="6"/>
  <c r="FW32" i="6"/>
  <c r="FW31" i="6"/>
  <c r="FV33" i="6"/>
  <c r="FV32" i="6"/>
  <c r="FV31" i="6"/>
  <c r="FL33" i="6"/>
  <c r="FL32" i="6"/>
  <c r="FL31" i="6"/>
  <c r="FP33" i="6"/>
  <c r="FP32" i="6"/>
  <c r="FP31" i="6"/>
  <c r="FO33" i="6"/>
  <c r="FO32" i="6"/>
  <c r="FO31" i="6"/>
  <c r="FK33" i="6"/>
  <c r="FK32" i="6"/>
  <c r="FK31" i="6"/>
  <c r="FJ33" i="6"/>
  <c r="FJ32" i="6"/>
  <c r="FJ31" i="6"/>
  <c r="EZ33" i="6"/>
  <c r="EZ32" i="6"/>
  <c r="EZ31" i="6"/>
  <c r="FD33" i="6"/>
  <c r="FD32" i="6"/>
  <c r="FD31" i="6"/>
  <c r="FC33" i="6"/>
  <c r="FC32" i="6"/>
  <c r="FC31" i="6"/>
  <c r="EY33" i="6"/>
  <c r="EY32" i="6"/>
  <c r="EY31" i="6"/>
  <c r="EX33" i="6"/>
  <c r="EX32" i="6"/>
  <c r="EX31" i="6"/>
  <c r="DT33" i="6"/>
  <c r="DU33" i="6"/>
  <c r="DT32" i="6"/>
  <c r="DU32" i="6"/>
  <c r="DT31" i="6"/>
  <c r="DU31" i="6"/>
  <c r="DY29" i="8"/>
  <c r="DZ29" i="8"/>
  <c r="EQ28" i="8"/>
  <c r="EQ27" i="8"/>
  <c r="EQ26" i="8"/>
  <c r="EP28" i="8"/>
  <c r="EP27" i="8"/>
  <c r="EP26" i="8"/>
  <c r="DX30" i="8"/>
  <c r="DX29" i="8"/>
  <c r="DX31" i="8" s="1"/>
  <c r="DV28" i="8"/>
  <c r="DV27" i="8"/>
  <c r="DV26" i="8"/>
  <c r="DU28" i="8"/>
  <c r="DU27" i="8"/>
  <c r="DU26" i="8"/>
  <c r="DK28" i="8"/>
  <c r="DK27" i="8"/>
  <c r="DK26" i="8"/>
  <c r="DL30" i="8"/>
  <c r="DL29" i="8"/>
  <c r="DL31" i="8" s="1"/>
  <c r="DI30" i="8"/>
  <c r="DI29" i="8"/>
  <c r="DI31" i="8" s="1"/>
  <c r="DH28" i="8"/>
  <c r="DH27" i="8"/>
  <c r="DH26" i="8"/>
  <c r="CX27" i="8"/>
  <c r="CX26" i="8"/>
  <c r="CX25" i="8"/>
  <c r="CA28" i="8"/>
  <c r="CA27" i="8"/>
  <c r="CA26" i="8"/>
  <c r="BY26" i="8"/>
  <c r="BY27" i="8"/>
  <c r="BY28" i="8"/>
  <c r="AT28" i="8"/>
  <c r="AT27" i="8"/>
  <c r="AT26" i="8"/>
  <c r="I31" i="8"/>
  <c r="I30" i="8"/>
  <c r="I29" i="8"/>
  <c r="E28" i="8"/>
  <c r="F28" i="8"/>
  <c r="E27" i="8"/>
  <c r="F27" i="8"/>
  <c r="E26" i="8"/>
  <c r="F26" i="8"/>
  <c r="D28" i="8"/>
  <c r="D27" i="8"/>
  <c r="D26" i="8"/>
  <c r="CY25" i="7"/>
  <c r="CY24" i="7"/>
  <c r="CY23" i="7"/>
  <c r="ER25" i="7"/>
  <c r="ER24" i="7"/>
  <c r="ER23" i="7"/>
  <c r="EQ25" i="7"/>
  <c r="EQ24" i="7"/>
  <c r="EQ23" i="7"/>
  <c r="EE25" i="7"/>
  <c r="EE24" i="7"/>
  <c r="EE23" i="7"/>
  <c r="DY27" i="7"/>
  <c r="DY26" i="7"/>
  <c r="DY28" i="7" s="1"/>
  <c r="DW25" i="7"/>
  <c r="DW24" i="7"/>
  <c r="DW23" i="7"/>
  <c r="DV25" i="7"/>
  <c r="DV24" i="7"/>
  <c r="DV23" i="7"/>
  <c r="DL25" i="7"/>
  <c r="DL24" i="7"/>
  <c r="DL23" i="7"/>
  <c r="DM27" i="7"/>
  <c r="DM26" i="7"/>
  <c r="DI25" i="7"/>
  <c r="DI24" i="7"/>
  <c r="DI23" i="7"/>
  <c r="DJ27" i="7"/>
  <c r="DJ26" i="7"/>
  <c r="BZ25" i="7"/>
  <c r="BZ24" i="7"/>
  <c r="BZ23" i="7"/>
  <c r="AU25" i="7"/>
  <c r="AU24" i="7"/>
  <c r="AU23" i="7"/>
  <c r="J27" i="7"/>
  <c r="J26" i="7"/>
  <c r="J28" i="7" s="1"/>
  <c r="F25" i="7"/>
  <c r="G25" i="7"/>
  <c r="F24" i="7"/>
  <c r="G24" i="7"/>
  <c r="F23" i="7"/>
  <c r="G23" i="7"/>
  <c r="E25" i="7"/>
  <c r="E24" i="7"/>
  <c r="E23" i="7"/>
  <c r="HU22" i="8"/>
  <c r="HV22" i="8" s="1"/>
  <c r="HS22" i="8"/>
  <c r="HT22" i="8" s="1"/>
  <c r="HR22" i="8"/>
  <c r="HP22" i="8"/>
  <c r="HQ22" i="8" s="1"/>
  <c r="HM22" i="8"/>
  <c r="HK22" i="8"/>
  <c r="HL22" i="8" s="1"/>
  <c r="G22" i="8"/>
  <c r="H22" i="8" s="1"/>
  <c r="HU21" i="8"/>
  <c r="HV21" i="8" s="1"/>
  <c r="HS21" i="8"/>
  <c r="HT21" i="8" s="1"/>
  <c r="HP21" i="8"/>
  <c r="HM21" i="8"/>
  <c r="HK21" i="8"/>
  <c r="HL21" i="8" s="1"/>
  <c r="G21" i="8"/>
  <c r="H21" i="8" s="1"/>
  <c r="HU20" i="8"/>
  <c r="HV20" i="8" s="1"/>
  <c r="HS20" i="8"/>
  <c r="HT20" i="8" s="1"/>
  <c r="HR20" i="8"/>
  <c r="HP20" i="8"/>
  <c r="HQ20" i="8" s="1"/>
  <c r="HM20" i="8"/>
  <c r="HO20" i="8" s="1"/>
  <c r="HK20" i="8"/>
  <c r="HL20" i="8" s="1"/>
  <c r="G20" i="8"/>
  <c r="H20" i="8" s="1"/>
  <c r="HU19" i="8"/>
  <c r="HV19" i="8" s="1"/>
  <c r="HS19" i="8"/>
  <c r="HT19" i="8" s="1"/>
  <c r="HR19" i="8"/>
  <c r="HP19" i="8"/>
  <c r="HQ19" i="8" s="1"/>
  <c r="HM19" i="8"/>
  <c r="HN19" i="8" s="1"/>
  <c r="HK19" i="8"/>
  <c r="HL19" i="8" s="1"/>
  <c r="G19" i="8"/>
  <c r="H19" i="8" s="1"/>
  <c r="HU18" i="8"/>
  <c r="HV18" i="8" s="1"/>
  <c r="HS18" i="8"/>
  <c r="HT18" i="8" s="1"/>
  <c r="HM18" i="8"/>
  <c r="HO18" i="8" s="1"/>
  <c r="HK18" i="8"/>
  <c r="HL18" i="8" s="1"/>
  <c r="G18" i="8"/>
  <c r="H18" i="8" s="1"/>
  <c r="HU17" i="8"/>
  <c r="HV17" i="8" s="1"/>
  <c r="HS17" i="8"/>
  <c r="HT17" i="8" s="1"/>
  <c r="HM17" i="8"/>
  <c r="HK17" i="8"/>
  <c r="HL17" i="8" s="1"/>
  <c r="G17" i="8"/>
  <c r="H17" i="8" s="1"/>
  <c r="HU16" i="8"/>
  <c r="HV16" i="8" s="1"/>
  <c r="HS16" i="8"/>
  <c r="HT16" i="8" s="1"/>
  <c r="HR16" i="8"/>
  <c r="HP16" i="8"/>
  <c r="HQ16" i="8" s="1"/>
  <c r="HM16" i="8"/>
  <c r="HN16" i="8" s="1"/>
  <c r="HK16" i="8"/>
  <c r="HL16" i="8" s="1"/>
  <c r="G16" i="8"/>
  <c r="H16" i="8" s="1"/>
  <c r="HP15" i="8"/>
  <c r="HM15" i="8"/>
  <c r="HK15" i="8"/>
  <c r="HL15" i="8" s="1"/>
  <c r="G15" i="8"/>
  <c r="H15" i="8" s="1"/>
  <c r="HU14" i="8"/>
  <c r="HV14" i="8" s="1"/>
  <c r="HS14" i="8"/>
  <c r="HT14" i="8" s="1"/>
  <c r="HR14" i="8"/>
  <c r="HP14" i="8"/>
  <c r="HQ14" i="8" s="1"/>
  <c r="HM14" i="8"/>
  <c r="HO14" i="8" s="1"/>
  <c r="HK14" i="8"/>
  <c r="HL14" i="8" s="1"/>
  <c r="G14" i="8"/>
  <c r="H14" i="8" s="1"/>
  <c r="HU13" i="8"/>
  <c r="HV13" i="8" s="1"/>
  <c r="HS13" i="8"/>
  <c r="HT13" i="8" s="1"/>
  <c r="HN13" i="8"/>
  <c r="HM13" i="8"/>
  <c r="HK13" i="8"/>
  <c r="HL13" i="8" s="1"/>
  <c r="G13" i="8"/>
  <c r="H13" i="8" s="1"/>
  <c r="HU12" i="8"/>
  <c r="HV12" i="8" s="1"/>
  <c r="HS12" i="8"/>
  <c r="HT12" i="8" s="1"/>
  <c r="HR12" i="8"/>
  <c r="HP12" i="8"/>
  <c r="HQ12" i="8" s="1"/>
  <c r="HO12" i="8"/>
  <c r="HN12" i="8"/>
  <c r="HM12" i="8"/>
  <c r="HK12" i="8"/>
  <c r="HL12" i="8" s="1"/>
  <c r="G12" i="8"/>
  <c r="H12" i="8" s="1"/>
  <c r="HU11" i="8"/>
  <c r="HV11" i="8" s="1"/>
  <c r="HS11" i="8"/>
  <c r="HT11" i="8" s="1"/>
  <c r="HR11" i="8"/>
  <c r="HP11" i="8"/>
  <c r="HQ11" i="8" s="1"/>
  <c r="HM11" i="8"/>
  <c r="HK11" i="8"/>
  <c r="HL11" i="8" s="1"/>
  <c r="G11" i="8"/>
  <c r="H11" i="8" s="1"/>
  <c r="HP10" i="8"/>
  <c r="HM10" i="8"/>
  <c r="HN10" i="8" s="1"/>
  <c r="HK10" i="8"/>
  <c r="HL10" i="8" s="1"/>
  <c r="H10" i="8"/>
  <c r="G10" i="8"/>
  <c r="HP9" i="8"/>
  <c r="HM9" i="8"/>
  <c r="HK9" i="8"/>
  <c r="HL9" i="8" s="1"/>
  <c r="H9" i="8"/>
  <c r="G9" i="8"/>
  <c r="HR8" i="8"/>
  <c r="HP8" i="8"/>
  <c r="HQ8" i="8" s="1"/>
  <c r="HM8" i="8"/>
  <c r="HK8" i="8"/>
  <c r="HL8" i="8" s="1"/>
  <c r="G8" i="8"/>
  <c r="H8" i="8" s="1"/>
  <c r="HU7" i="8"/>
  <c r="HV7" i="8" s="1"/>
  <c r="HS7" i="8"/>
  <c r="HT7" i="8" s="1"/>
  <c r="HR7" i="8"/>
  <c r="HP7" i="8"/>
  <c r="HQ7" i="8" s="1"/>
  <c r="HM7" i="8"/>
  <c r="HK7" i="8"/>
  <c r="HL7" i="8" s="1"/>
  <c r="G7" i="8"/>
  <c r="H7" i="8" s="1"/>
  <c r="HP6" i="8"/>
  <c r="HM6" i="8"/>
  <c r="HK6" i="8"/>
  <c r="HL6" i="8" s="1"/>
  <c r="G6" i="8"/>
  <c r="H6" i="8" s="1"/>
  <c r="HU5" i="8"/>
  <c r="HV5" i="8" s="1"/>
  <c r="HS5" i="8"/>
  <c r="HT5" i="8" s="1"/>
  <c r="HM5" i="8"/>
  <c r="HN5" i="8" s="1"/>
  <c r="HK5" i="8"/>
  <c r="HL5" i="8" s="1"/>
  <c r="G5" i="8"/>
  <c r="H5" i="8" s="1"/>
  <c r="HU4" i="8"/>
  <c r="HV4" i="8" s="1"/>
  <c r="HS4" i="8"/>
  <c r="HT4" i="8" s="1"/>
  <c r="HR4" i="8"/>
  <c r="HP4" i="8"/>
  <c r="HQ4" i="8" s="1"/>
  <c r="HM4" i="8"/>
  <c r="HK4" i="8"/>
  <c r="HL4" i="8" s="1"/>
  <c r="G4" i="8"/>
  <c r="H4" i="8" s="1"/>
  <c r="HU3" i="8"/>
  <c r="HV3" i="8" s="1"/>
  <c r="HS3" i="8"/>
  <c r="HT3" i="8" s="1"/>
  <c r="HM3" i="8"/>
  <c r="HL3" i="8"/>
  <c r="HK3" i="8"/>
  <c r="G3" i="8"/>
  <c r="H3" i="8" s="1"/>
  <c r="HV4" i="7"/>
  <c r="HW4" i="7" s="1"/>
  <c r="HT4" i="7"/>
  <c r="HU4" i="7" s="1"/>
  <c r="HS4" i="7"/>
  <c r="HR4" i="7"/>
  <c r="HN4" i="7"/>
  <c r="HL4" i="7"/>
  <c r="HM4" i="7" s="1"/>
  <c r="H4" i="7"/>
  <c r="I4" i="7" s="1"/>
  <c r="HN17" i="7"/>
  <c r="HL17" i="7"/>
  <c r="HM17" i="7" s="1"/>
  <c r="H17" i="7"/>
  <c r="I17" i="7" s="1"/>
  <c r="HT11" i="7"/>
  <c r="HU11" i="7" s="1"/>
  <c r="HS11" i="7"/>
  <c r="HR11" i="7"/>
  <c r="HN11" i="7"/>
  <c r="HL11" i="7"/>
  <c r="HM11" i="7" s="1"/>
  <c r="H11" i="7"/>
  <c r="I11" i="7" s="1"/>
  <c r="HV8" i="7"/>
  <c r="HW8" i="7" s="1"/>
  <c r="HT8" i="7"/>
  <c r="HU8" i="7" s="1"/>
  <c r="HN8" i="7"/>
  <c r="HO8" i="7" s="1"/>
  <c r="HL8" i="7"/>
  <c r="HM8" i="7" s="1"/>
  <c r="H8" i="7"/>
  <c r="I8" i="7" s="1"/>
  <c r="HV9" i="7"/>
  <c r="HW9" i="7" s="1"/>
  <c r="HT9" i="7"/>
  <c r="HU9" i="7" s="1"/>
  <c r="HN9" i="7"/>
  <c r="HL9" i="7"/>
  <c r="HM9" i="7" s="1"/>
  <c r="H9" i="7"/>
  <c r="I9" i="7" s="1"/>
  <c r="HV6" i="7"/>
  <c r="HW6" i="7" s="1"/>
  <c r="HT6" i="7"/>
  <c r="HU6" i="7" s="1"/>
  <c r="HN6" i="7"/>
  <c r="HO6" i="7" s="1"/>
  <c r="HL6" i="7"/>
  <c r="HM6" i="7" s="1"/>
  <c r="H6" i="7"/>
  <c r="I6" i="7" s="1"/>
  <c r="HV12" i="7"/>
  <c r="HW12" i="7" s="1"/>
  <c r="HT12" i="7"/>
  <c r="HU12" i="7" s="1"/>
  <c r="HN12" i="7"/>
  <c r="HO12" i="7" s="1"/>
  <c r="HL12" i="7"/>
  <c r="HM12" i="7" s="1"/>
  <c r="H12" i="7"/>
  <c r="I12" i="7" s="1"/>
  <c r="HV19" i="7"/>
  <c r="HW19" i="7" s="1"/>
  <c r="HT19" i="7"/>
  <c r="HU19" i="7" s="1"/>
  <c r="HN19" i="7"/>
  <c r="HL19" i="7"/>
  <c r="HM19" i="7" s="1"/>
  <c r="H19" i="7"/>
  <c r="I19" i="7" s="1"/>
  <c r="HT15" i="7"/>
  <c r="HS15" i="7"/>
  <c r="HR15" i="7"/>
  <c r="HN15" i="7"/>
  <c r="HL15" i="7"/>
  <c r="HM15" i="7" s="1"/>
  <c r="H15" i="7"/>
  <c r="I15" i="7" s="1"/>
  <c r="HV13" i="7"/>
  <c r="HW13" i="7" s="1"/>
  <c r="HT13" i="7"/>
  <c r="HU13" i="7" s="1"/>
  <c r="HS13" i="7"/>
  <c r="HQ13" i="7"/>
  <c r="HR13" i="7" s="1"/>
  <c r="HN13" i="7"/>
  <c r="HL13" i="7"/>
  <c r="HM13" i="7" s="1"/>
  <c r="H13" i="7"/>
  <c r="I13" i="7" s="1"/>
  <c r="HS14" i="7"/>
  <c r="HQ14" i="7"/>
  <c r="HR14" i="7" s="1"/>
  <c r="HN14" i="7"/>
  <c r="HL14" i="7"/>
  <c r="HM14" i="7" s="1"/>
  <c r="H14" i="7"/>
  <c r="I14" i="7" s="1"/>
  <c r="HV16" i="7"/>
  <c r="HW16" i="7" s="1"/>
  <c r="HT16" i="7"/>
  <c r="HU16" i="7" s="1"/>
  <c r="HS16" i="7"/>
  <c r="HR16" i="7"/>
  <c r="HN16" i="7"/>
  <c r="HL16" i="7"/>
  <c r="HM16" i="7" s="1"/>
  <c r="H16" i="7"/>
  <c r="I16" i="7" s="1"/>
  <c r="HN10" i="7"/>
  <c r="HL10" i="7"/>
  <c r="HM10" i="7" s="1"/>
  <c r="H10" i="7"/>
  <c r="I10" i="7" s="1"/>
  <c r="HV18" i="7"/>
  <c r="HW18" i="7" s="1"/>
  <c r="HT18" i="7"/>
  <c r="HU18" i="7" s="1"/>
  <c r="HN18" i="7"/>
  <c r="HL18" i="7"/>
  <c r="HM18" i="7" s="1"/>
  <c r="H18" i="7"/>
  <c r="I18" i="7" s="1"/>
  <c r="HV7" i="7"/>
  <c r="HW7" i="7" s="1"/>
  <c r="HT7" i="7"/>
  <c r="HU7" i="7" s="1"/>
  <c r="HS7" i="7"/>
  <c r="HQ7" i="7"/>
  <c r="HR7" i="7" s="1"/>
  <c r="HN7" i="7"/>
  <c r="HL7" i="7"/>
  <c r="HM7" i="7" s="1"/>
  <c r="H7" i="7"/>
  <c r="I7" i="7" s="1"/>
  <c r="HV5" i="7"/>
  <c r="HW5" i="7" s="1"/>
  <c r="HT5" i="7"/>
  <c r="HU5" i="7" s="1"/>
  <c r="HS5" i="7"/>
  <c r="HR5" i="7"/>
  <c r="HN5" i="7"/>
  <c r="HO5" i="7" s="1"/>
  <c r="HL5" i="7"/>
  <c r="H5" i="7"/>
  <c r="I5" i="7" s="1"/>
  <c r="HS3" i="7"/>
  <c r="HQ3" i="7"/>
  <c r="HR3" i="7" s="1"/>
  <c r="HN3" i="7"/>
  <c r="HL3" i="7"/>
  <c r="HM3" i="7" s="1"/>
  <c r="H3" i="7"/>
  <c r="I3" i="7" s="1"/>
  <c r="ER33" i="6"/>
  <c r="ER32" i="6"/>
  <c r="ER31" i="6"/>
  <c r="EQ33" i="6"/>
  <c r="EQ32" i="6"/>
  <c r="EQ31" i="6"/>
  <c r="CY33" i="6"/>
  <c r="CY32" i="6"/>
  <c r="CY31" i="6"/>
  <c r="EE33" i="6"/>
  <c r="EE32" i="6"/>
  <c r="EE31" i="6"/>
  <c r="DW33" i="6"/>
  <c r="DW32" i="6"/>
  <c r="DW31" i="6"/>
  <c r="DV33" i="6"/>
  <c r="DV32" i="6"/>
  <c r="DV31" i="6"/>
  <c r="DZ44" i="1"/>
  <c r="EA44" i="1"/>
  <c r="DY21" i="5"/>
  <c r="DZ21" i="5"/>
  <c r="DY20" i="5"/>
  <c r="DZ20" i="5"/>
  <c r="DZ35" i="6"/>
  <c r="EA35" i="6"/>
  <c r="DZ34" i="6"/>
  <c r="EA34" i="6"/>
  <c r="DY35" i="6"/>
  <c r="DY34" i="6"/>
  <c r="DM35" i="6"/>
  <c r="DM34" i="6"/>
  <c r="DM36" i="6" s="1"/>
  <c r="DL33" i="6"/>
  <c r="DL32" i="6"/>
  <c r="DL31" i="6"/>
  <c r="DJ35" i="6"/>
  <c r="DJ34" i="6"/>
  <c r="DI33" i="6"/>
  <c r="DI32" i="6"/>
  <c r="DI31" i="6"/>
  <c r="BZ31" i="6"/>
  <c r="BZ32" i="6"/>
  <c r="BZ33" i="6"/>
  <c r="AU33" i="6"/>
  <c r="AU32" i="6"/>
  <c r="AU31" i="6"/>
  <c r="F33" i="6"/>
  <c r="G33" i="6"/>
  <c r="F32" i="6"/>
  <c r="G32" i="6"/>
  <c r="F31" i="6"/>
  <c r="G31" i="6"/>
  <c r="J35" i="6"/>
  <c r="J34" i="6"/>
  <c r="E33" i="6"/>
  <c r="E32" i="6"/>
  <c r="E31" i="6"/>
  <c r="HQ7" i="6"/>
  <c r="HN7" i="6"/>
  <c r="HL7" i="6"/>
  <c r="HM7" i="6" s="1"/>
  <c r="H7" i="6"/>
  <c r="I7" i="6" s="1"/>
  <c r="EQ19" i="5"/>
  <c r="EQ18" i="5"/>
  <c r="EQ17" i="5"/>
  <c r="EP19" i="5"/>
  <c r="EP18" i="5"/>
  <c r="EP17" i="5"/>
  <c r="CX19" i="5"/>
  <c r="CX18" i="5"/>
  <c r="CX17" i="5"/>
  <c r="ED19" i="5"/>
  <c r="ED18" i="5"/>
  <c r="ED17" i="5"/>
  <c r="DV19" i="5"/>
  <c r="DV18" i="5"/>
  <c r="DV17" i="5"/>
  <c r="DU19" i="5"/>
  <c r="DU18" i="5"/>
  <c r="DU17" i="5"/>
  <c r="DX21" i="5"/>
  <c r="DX20" i="5"/>
  <c r="DK19" i="5"/>
  <c r="DK18" i="5"/>
  <c r="DK17" i="5"/>
  <c r="DL21" i="5"/>
  <c r="DL20" i="5"/>
  <c r="DI21" i="5"/>
  <c r="DI20" i="5"/>
  <c r="DH19" i="5"/>
  <c r="DH18" i="5"/>
  <c r="DH17" i="5"/>
  <c r="BY19" i="5"/>
  <c r="BY18" i="5"/>
  <c r="BY17" i="5"/>
  <c r="AT19" i="5"/>
  <c r="AT18" i="5"/>
  <c r="AT17" i="5"/>
  <c r="I21" i="5"/>
  <c r="I20" i="5"/>
  <c r="H20" i="5"/>
  <c r="H21" i="5"/>
  <c r="D19" i="5"/>
  <c r="E19" i="5"/>
  <c r="C19" i="5"/>
  <c r="D18" i="5"/>
  <c r="E18" i="5"/>
  <c r="C18" i="5"/>
  <c r="D17" i="5"/>
  <c r="E17" i="5"/>
  <c r="C17" i="5"/>
  <c r="HV14" i="6"/>
  <c r="HW14" i="6" s="1"/>
  <c r="HT14" i="6"/>
  <c r="HU14" i="6" s="1"/>
  <c r="HS14" i="6"/>
  <c r="HQ14" i="6"/>
  <c r="HR14" i="6" s="1"/>
  <c r="HN14" i="6"/>
  <c r="HL14" i="6"/>
  <c r="HM14" i="6" s="1"/>
  <c r="H14" i="6"/>
  <c r="I14" i="6" s="1"/>
  <c r="HV28" i="6"/>
  <c r="HW28" i="6" s="1"/>
  <c r="HT28" i="6"/>
  <c r="HU28" i="6" s="1"/>
  <c r="HS28" i="6"/>
  <c r="HQ28" i="6"/>
  <c r="HR28" i="6" s="1"/>
  <c r="HN28" i="6"/>
  <c r="HL28" i="6"/>
  <c r="HM28" i="6" s="1"/>
  <c r="H28" i="6"/>
  <c r="I28" i="6" s="1"/>
  <c r="HV15" i="6"/>
  <c r="HW15" i="6" s="1"/>
  <c r="HT15" i="6"/>
  <c r="HU15" i="6" s="1"/>
  <c r="HN15" i="6"/>
  <c r="HL15" i="6"/>
  <c r="HM15" i="6" s="1"/>
  <c r="H15" i="6"/>
  <c r="I15" i="6" s="1"/>
  <c r="HV27" i="6"/>
  <c r="HW27" i="6" s="1"/>
  <c r="HT27" i="6"/>
  <c r="HU27" i="6" s="1"/>
  <c r="HQ27" i="6"/>
  <c r="HN27" i="6"/>
  <c r="HL27" i="6"/>
  <c r="HM27" i="6" s="1"/>
  <c r="H27" i="6"/>
  <c r="I27" i="6" s="1"/>
  <c r="HQ25" i="6"/>
  <c r="HN25" i="6"/>
  <c r="HL25" i="6"/>
  <c r="HM25" i="6" s="1"/>
  <c r="H25" i="6"/>
  <c r="I25" i="6" s="1"/>
  <c r="HV17" i="6"/>
  <c r="HW17" i="6" s="1"/>
  <c r="HT17" i="6"/>
  <c r="HU17" i="6" s="1"/>
  <c r="HS17" i="6"/>
  <c r="HQ17" i="6"/>
  <c r="HR17" i="6" s="1"/>
  <c r="HN17" i="6"/>
  <c r="HL17" i="6"/>
  <c r="HM17" i="6" s="1"/>
  <c r="H17" i="6"/>
  <c r="I17" i="6" s="1"/>
  <c r="HV23" i="6"/>
  <c r="HW23" i="6" s="1"/>
  <c r="HT23" i="6"/>
  <c r="HU23" i="6" s="1"/>
  <c r="HS23" i="6"/>
  <c r="HQ23" i="6"/>
  <c r="HR23" i="6" s="1"/>
  <c r="HN23" i="6"/>
  <c r="HL23" i="6"/>
  <c r="HM23" i="6" s="1"/>
  <c r="H23" i="6"/>
  <c r="I23" i="6" s="1"/>
  <c r="HS12" i="6"/>
  <c r="HQ12" i="6"/>
  <c r="HR12" i="6" s="1"/>
  <c r="HN12" i="6"/>
  <c r="HL12" i="6"/>
  <c r="HM12" i="6" s="1"/>
  <c r="H12" i="6"/>
  <c r="I12" i="6" s="1"/>
  <c r="HV24" i="6"/>
  <c r="HW24" i="6" s="1"/>
  <c r="HT24" i="6"/>
  <c r="HU24" i="6" s="1"/>
  <c r="HN24" i="6"/>
  <c r="HL24" i="6"/>
  <c r="HM24" i="6" s="1"/>
  <c r="H24" i="6"/>
  <c r="I24" i="6" s="1"/>
  <c r="HV9" i="6"/>
  <c r="HW9" i="6" s="1"/>
  <c r="HT9" i="6"/>
  <c r="HU9" i="6" s="1"/>
  <c r="HS9" i="6"/>
  <c r="HQ9" i="6"/>
  <c r="HR9" i="6" s="1"/>
  <c r="HN9" i="6"/>
  <c r="HO9" i="6" s="1"/>
  <c r="HL9" i="6"/>
  <c r="H9" i="6"/>
  <c r="I9" i="6" s="1"/>
  <c r="HV11" i="6"/>
  <c r="HW11" i="6" s="1"/>
  <c r="HT11" i="6"/>
  <c r="HU11" i="6" s="1"/>
  <c r="HN11" i="6"/>
  <c r="HL11" i="6"/>
  <c r="HM11" i="6" s="1"/>
  <c r="H11" i="6"/>
  <c r="I11" i="6" s="1"/>
  <c r="HV29" i="6"/>
  <c r="HW29" i="6" s="1"/>
  <c r="HT29" i="6"/>
  <c r="HU29" i="6" s="1"/>
  <c r="HN29" i="6"/>
  <c r="HL29" i="6"/>
  <c r="HM29" i="6" s="1"/>
  <c r="H29" i="6"/>
  <c r="I29" i="6" s="1"/>
  <c r="HV6" i="6"/>
  <c r="HW6" i="6" s="1"/>
  <c r="HT6" i="6"/>
  <c r="HU6" i="6" s="1"/>
  <c r="HN6" i="6"/>
  <c r="HL6" i="6"/>
  <c r="HM6" i="6" s="1"/>
  <c r="H6" i="6"/>
  <c r="I6" i="6" s="1"/>
  <c r="HV16" i="6"/>
  <c r="HW16" i="6" s="1"/>
  <c r="HT16" i="6"/>
  <c r="HU16" i="6" s="1"/>
  <c r="HS16" i="6"/>
  <c r="HQ16" i="6"/>
  <c r="HR16" i="6" s="1"/>
  <c r="HN16" i="6"/>
  <c r="HO16" i="6" s="1"/>
  <c r="HL16" i="6"/>
  <c r="HM16" i="6" s="1"/>
  <c r="H16" i="6"/>
  <c r="I16" i="6" s="1"/>
  <c r="HT18" i="6"/>
  <c r="HU18" i="6" s="1"/>
  <c r="HS18" i="6"/>
  <c r="HR18" i="6"/>
  <c r="HN18" i="6"/>
  <c r="HL18" i="6"/>
  <c r="HM18" i="6" s="1"/>
  <c r="H18" i="6"/>
  <c r="I18" i="6" s="1"/>
  <c r="HV8" i="6"/>
  <c r="HW8" i="6" s="1"/>
  <c r="HT8" i="6"/>
  <c r="HU8" i="6" s="1"/>
  <c r="HS8" i="6"/>
  <c r="HQ8" i="6"/>
  <c r="HR8" i="6" s="1"/>
  <c r="HN8" i="6"/>
  <c r="HL8" i="6"/>
  <c r="HM8" i="6" s="1"/>
  <c r="H8" i="6"/>
  <c r="I8" i="6" s="1"/>
  <c r="HV20" i="6"/>
  <c r="HW20" i="6" s="1"/>
  <c r="HT20" i="6"/>
  <c r="HU20" i="6" s="1"/>
  <c r="HN20" i="6"/>
  <c r="HL20" i="6"/>
  <c r="HM20" i="6" s="1"/>
  <c r="H20" i="6"/>
  <c r="I20" i="6" s="1"/>
  <c r="HV5" i="6"/>
  <c r="HW5" i="6" s="1"/>
  <c r="HT5" i="6"/>
  <c r="HU5" i="6" s="1"/>
  <c r="HN5" i="6"/>
  <c r="HL5" i="6"/>
  <c r="HM5" i="6" s="1"/>
  <c r="H5" i="6"/>
  <c r="I5" i="6" s="1"/>
  <c r="HV13" i="6"/>
  <c r="HW13" i="6" s="1"/>
  <c r="HT13" i="6"/>
  <c r="HU13" i="6" s="1"/>
  <c r="HS13" i="6"/>
  <c r="HQ13" i="6"/>
  <c r="HR13" i="6" s="1"/>
  <c r="HN13" i="6"/>
  <c r="HO13" i="6" s="1"/>
  <c r="HL13" i="6"/>
  <c r="HM13" i="6" s="1"/>
  <c r="H13" i="6"/>
  <c r="I13" i="6" s="1"/>
  <c r="HV21" i="6"/>
  <c r="HW21" i="6" s="1"/>
  <c r="HT21" i="6"/>
  <c r="HU21" i="6" s="1"/>
  <c r="HN21" i="6"/>
  <c r="HL21" i="6"/>
  <c r="HM21" i="6" s="1"/>
  <c r="H21" i="6"/>
  <c r="I21" i="6" s="1"/>
  <c r="HV4" i="6"/>
  <c r="HW4" i="6" s="1"/>
  <c r="HT4" i="6"/>
  <c r="HU4" i="6" s="1"/>
  <c r="HS4" i="6"/>
  <c r="HR4" i="6"/>
  <c r="HN4" i="6"/>
  <c r="HO4" i="6" s="1"/>
  <c r="HL4" i="6"/>
  <c r="HM4" i="6" s="1"/>
  <c r="H4" i="6"/>
  <c r="I4" i="6" s="1"/>
  <c r="HN26" i="6"/>
  <c r="HL26" i="6"/>
  <c r="HM26" i="6" s="1"/>
  <c r="H26" i="6"/>
  <c r="I26" i="6" s="1"/>
  <c r="HV10" i="6"/>
  <c r="HW10" i="6" s="1"/>
  <c r="HT10" i="6"/>
  <c r="HU10" i="6" s="1"/>
  <c r="HN10" i="6"/>
  <c r="HL10" i="6"/>
  <c r="HM10" i="6" s="1"/>
  <c r="H10" i="6"/>
  <c r="I10" i="6" s="1"/>
  <c r="HQ3" i="6"/>
  <c r="HN3" i="6"/>
  <c r="HO3" i="6" s="1"/>
  <c r="HL3" i="6"/>
  <c r="HM3" i="6" s="1"/>
  <c r="H3" i="6"/>
  <c r="I3" i="6" s="1"/>
  <c r="HQ22" i="6"/>
  <c r="HN22" i="6"/>
  <c r="HO22" i="6" s="1"/>
  <c r="HL22" i="6"/>
  <c r="HM22" i="6" s="1"/>
  <c r="H22" i="6"/>
  <c r="I22" i="6" s="1"/>
  <c r="HU12" i="5"/>
  <c r="HV12" i="5" s="1"/>
  <c r="HS12" i="5"/>
  <c r="HT12" i="5" s="1"/>
  <c r="HM12" i="5"/>
  <c r="HK12" i="5"/>
  <c r="HL12" i="5" s="1"/>
  <c r="F12" i="5"/>
  <c r="G12" i="5" s="1"/>
  <c r="HS9" i="5"/>
  <c r="HR9" i="5"/>
  <c r="HQ9" i="5"/>
  <c r="HM9" i="5"/>
  <c r="HN9" i="5" s="1"/>
  <c r="HK9" i="5"/>
  <c r="HL9" i="5" s="1"/>
  <c r="F9" i="5"/>
  <c r="G9" i="5" s="1"/>
  <c r="HU7" i="5"/>
  <c r="HV7" i="5" s="1"/>
  <c r="HS7" i="5"/>
  <c r="HT7" i="5" s="1"/>
  <c r="HR7" i="5"/>
  <c r="HP7" i="5"/>
  <c r="HQ7" i="5" s="1"/>
  <c r="HM7" i="5"/>
  <c r="HK7" i="5"/>
  <c r="HL7" i="5" s="1"/>
  <c r="F7" i="5"/>
  <c r="G7" i="5" s="1"/>
  <c r="HU10" i="5"/>
  <c r="HV10" i="5" s="1"/>
  <c r="HS10" i="5"/>
  <c r="HT10" i="5" s="1"/>
  <c r="HR10" i="5"/>
  <c r="HQ10" i="5"/>
  <c r="HM10" i="5"/>
  <c r="HN10" i="5" s="1"/>
  <c r="HK10" i="5"/>
  <c r="HL10" i="5" s="1"/>
  <c r="F10" i="5"/>
  <c r="G10" i="5" s="1"/>
  <c r="HR8" i="5"/>
  <c r="HP8" i="5"/>
  <c r="HQ8" i="5" s="1"/>
  <c r="HM8" i="5"/>
  <c r="HK8" i="5"/>
  <c r="HL8" i="5" s="1"/>
  <c r="F8" i="5"/>
  <c r="G8" i="5" s="1"/>
  <c r="HU5" i="5"/>
  <c r="HV5" i="5" s="1"/>
  <c r="HS5" i="5"/>
  <c r="HT5" i="5" s="1"/>
  <c r="HR5" i="5"/>
  <c r="HP5" i="5"/>
  <c r="HQ5" i="5" s="1"/>
  <c r="HM5" i="5"/>
  <c r="HN5" i="5" s="1"/>
  <c r="HK5" i="5"/>
  <c r="HL5" i="5" s="1"/>
  <c r="F5" i="5"/>
  <c r="G5" i="5" s="1"/>
  <c r="HU11" i="5"/>
  <c r="HV11" i="5" s="1"/>
  <c r="HS11" i="5"/>
  <c r="HT11" i="5" s="1"/>
  <c r="HM11" i="5"/>
  <c r="HK11" i="5"/>
  <c r="HL11" i="5" s="1"/>
  <c r="F11" i="5"/>
  <c r="G11" i="5" s="1"/>
  <c r="HM6" i="5"/>
  <c r="HN6" i="5" s="1"/>
  <c r="HK6" i="5"/>
  <c r="HL6" i="5" s="1"/>
  <c r="F6" i="5"/>
  <c r="HU4" i="5"/>
  <c r="HV4" i="5" s="1"/>
  <c r="HS4" i="5"/>
  <c r="HT4" i="5" s="1"/>
  <c r="HR4" i="5"/>
  <c r="HQ4" i="5"/>
  <c r="HM4" i="5"/>
  <c r="HK4" i="5"/>
  <c r="HL4" i="5" s="1"/>
  <c r="F4" i="5"/>
  <c r="G4" i="5" s="1"/>
  <c r="HR3" i="5"/>
  <c r="HP3" i="5"/>
  <c r="HQ3" i="5" s="1"/>
  <c r="HM3" i="5"/>
  <c r="HN3" i="5" s="1"/>
  <c r="HK3" i="5"/>
  <c r="HL3" i="5" s="1"/>
  <c r="F3" i="5"/>
  <c r="G3" i="5" s="1"/>
  <c r="HP5" i="7" l="1"/>
  <c r="DM28" i="7"/>
  <c r="DI22" i="5"/>
  <c r="DL22" i="5"/>
  <c r="H22" i="5"/>
  <c r="I22" i="5"/>
  <c r="DJ28" i="7"/>
  <c r="HP16" i="7"/>
  <c r="HP9" i="7"/>
  <c r="I24" i="7"/>
  <c r="HP13" i="7"/>
  <c r="HP3" i="7"/>
  <c r="I23" i="7"/>
  <c r="H26" i="8"/>
  <c r="G26" i="8"/>
  <c r="H28" i="8"/>
  <c r="G28" i="8"/>
  <c r="G18" i="5"/>
  <c r="HP19" i="7"/>
  <c r="HN18" i="8"/>
  <c r="HO21" i="8"/>
  <c r="HO5" i="8"/>
  <c r="I25" i="7"/>
  <c r="H25" i="7"/>
  <c r="HO8" i="8"/>
  <c r="HP10" i="7"/>
  <c r="HN8" i="8"/>
  <c r="HO13" i="8"/>
  <c r="HP14" i="7"/>
  <c r="HO15" i="8"/>
  <c r="HP4" i="7"/>
  <c r="HO3" i="8"/>
  <c r="HN3" i="8"/>
  <c r="H24" i="7"/>
  <c r="HP8" i="7"/>
  <c r="HO11" i="8"/>
  <c r="HO16" i="8"/>
  <c r="HN11" i="8"/>
  <c r="HO19" i="8"/>
  <c r="HO22" i="8"/>
  <c r="HP6" i="6"/>
  <c r="HP11" i="7"/>
  <c r="HO6" i="8"/>
  <c r="HP17" i="7"/>
  <c r="HO9" i="7"/>
  <c r="HO10" i="8"/>
  <c r="HP18" i="7"/>
  <c r="DX22" i="5"/>
  <c r="HP7" i="7"/>
  <c r="HO16" i="7"/>
  <c r="HP15" i="7"/>
  <c r="HN6" i="8"/>
  <c r="HO9" i="8"/>
  <c r="HO17" i="8"/>
  <c r="HO7" i="8"/>
  <c r="HO4" i="8"/>
  <c r="H27" i="8"/>
  <c r="G27" i="8"/>
  <c r="H23" i="7"/>
  <c r="HP7" i="6"/>
  <c r="EA36" i="6"/>
  <c r="DZ36" i="6"/>
  <c r="HP9" i="6"/>
  <c r="HP21" i="6"/>
  <c r="I33" i="6"/>
  <c r="HP26" i="6"/>
  <c r="I31" i="6"/>
  <c r="H31" i="6"/>
  <c r="HP17" i="6"/>
  <c r="HO17" i="6"/>
  <c r="I32" i="6"/>
  <c r="DY36" i="6"/>
  <c r="H32" i="6"/>
  <c r="HP11" i="6"/>
  <c r="H33" i="6"/>
  <c r="HP18" i="6"/>
  <c r="HO11" i="6"/>
  <c r="HN14" i="8"/>
  <c r="HN17" i="8"/>
  <c r="HN20" i="8"/>
  <c r="HN15" i="8"/>
  <c r="HN21" i="8"/>
  <c r="HN22" i="8"/>
  <c r="HN7" i="8"/>
  <c r="HN9" i="8"/>
  <c r="HN4" i="8"/>
  <c r="HP6" i="7"/>
  <c r="HO13" i="7"/>
  <c r="HO19" i="7"/>
  <c r="HP12" i="7"/>
  <c r="HO4" i="7"/>
  <c r="HM5" i="7"/>
  <c r="HO14" i="7"/>
  <c r="HO15" i="7"/>
  <c r="HO7" i="7"/>
  <c r="HO3" i="7"/>
  <c r="HO10" i="7"/>
  <c r="HO17" i="7"/>
  <c r="HO18" i="7"/>
  <c r="HO11" i="7"/>
  <c r="J36" i="6"/>
  <c r="HO7" i="6"/>
  <c r="HP24" i="6"/>
  <c r="HP27" i="6"/>
  <c r="HP28" i="6"/>
  <c r="HP23" i="6"/>
  <c r="HP5" i="6"/>
  <c r="HO5" i="6"/>
  <c r="HP3" i="6"/>
  <c r="HP29" i="6"/>
  <c r="HP10" i="6"/>
  <c r="HP12" i="6"/>
  <c r="HP8" i="6"/>
  <c r="HP20" i="6"/>
  <c r="HO12" i="6"/>
  <c r="HP25" i="6"/>
  <c r="HP15" i="6"/>
  <c r="HP14" i="6"/>
  <c r="DJ36" i="6"/>
  <c r="G19" i="5"/>
  <c r="F19" i="5"/>
  <c r="G17" i="5"/>
  <c r="F17" i="5"/>
  <c r="F18" i="5"/>
  <c r="HO7" i="5"/>
  <c r="HO12" i="5"/>
  <c r="HO8" i="5"/>
  <c r="HO11" i="5"/>
  <c r="HO4" i="5"/>
  <c r="HO3" i="5"/>
  <c r="HO6" i="5"/>
  <c r="HM9" i="6"/>
  <c r="HO28" i="6"/>
  <c r="HO8" i="6"/>
  <c r="HP4" i="6"/>
  <c r="HO21" i="6"/>
  <c r="HP13" i="6"/>
  <c r="HO20" i="6"/>
  <c r="HO23" i="6"/>
  <c r="HO27" i="6"/>
  <c r="HO15" i="6"/>
  <c r="HO14" i="6"/>
  <c r="HO18" i="6"/>
  <c r="HP16" i="6"/>
  <c r="HO29" i="6"/>
  <c r="HO24" i="6"/>
  <c r="HO26" i="6"/>
  <c r="HO6" i="6"/>
  <c r="HO25" i="6"/>
  <c r="HP22" i="6"/>
  <c r="HO10" i="6"/>
  <c r="HO10" i="5"/>
  <c r="HN7" i="5"/>
  <c r="HN12" i="5"/>
  <c r="HN8" i="5"/>
  <c r="HO5" i="5"/>
  <c r="HO9" i="5"/>
  <c r="HN11" i="5"/>
  <c r="HN4" i="5"/>
  <c r="DJ46" i="1"/>
  <c r="DJ44" i="1"/>
  <c r="DI43" i="1"/>
  <c r="DI42" i="1"/>
  <c r="DI41" i="1"/>
  <c r="BZ43" i="1"/>
  <c r="BZ42" i="1"/>
  <c r="BZ41" i="1"/>
  <c r="BR41" i="1"/>
  <c r="ER43" i="1"/>
  <c r="ER42" i="1"/>
  <c r="ER41" i="1"/>
  <c r="EQ43" i="1"/>
  <c r="EQ42" i="1"/>
  <c r="EQ41" i="1"/>
  <c r="BR43" i="1"/>
  <c r="BR42" i="1"/>
  <c r="EE43" i="1"/>
  <c r="EE42" i="1"/>
  <c r="EE41" i="1"/>
  <c r="DW43" i="1"/>
  <c r="DW42" i="1"/>
  <c r="DW41" i="1"/>
  <c r="DV43" i="1"/>
  <c r="DV42" i="1"/>
  <c r="DV41" i="1"/>
  <c r="DY46" i="1"/>
  <c r="DY44" i="1"/>
  <c r="DL43" i="1"/>
  <c r="DL42" i="1"/>
  <c r="DL41" i="1"/>
  <c r="DM46" i="1"/>
  <c r="DM44" i="1"/>
  <c r="AT43" i="1"/>
  <c r="AT42" i="1"/>
  <c r="AT41" i="1"/>
  <c r="I46" i="1"/>
  <c r="I44" i="1"/>
  <c r="D43" i="1"/>
  <c r="D42" i="1"/>
  <c r="G5" i="1"/>
  <c r="H5" i="1" s="1"/>
  <c r="G9" i="1"/>
  <c r="H9" i="1" s="1"/>
  <c r="G10" i="1"/>
  <c r="H10" i="1" s="1"/>
  <c r="G12" i="1"/>
  <c r="H12" i="1" s="1"/>
  <c r="G14" i="1"/>
  <c r="H14" i="1" s="1"/>
  <c r="G15" i="1"/>
  <c r="H15" i="1" s="1"/>
  <c r="G17" i="1"/>
  <c r="H17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3" i="1"/>
  <c r="H33" i="1" s="1"/>
  <c r="G34" i="1"/>
  <c r="H34" i="1" s="1"/>
  <c r="G37" i="1"/>
  <c r="H37" i="1" s="1"/>
  <c r="G4" i="1"/>
  <c r="H4" i="1" s="1"/>
  <c r="G6" i="1"/>
  <c r="H6" i="1" s="1"/>
  <c r="G7" i="1"/>
  <c r="H7" i="1" s="1"/>
  <c r="G8" i="1"/>
  <c r="H8" i="1" s="1"/>
  <c r="G11" i="1"/>
  <c r="H11" i="1" s="1"/>
  <c r="G13" i="1"/>
  <c r="H13" i="1" s="1"/>
  <c r="G16" i="1"/>
  <c r="H16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31" i="1"/>
  <c r="H31" i="1" s="1"/>
  <c r="G32" i="1"/>
  <c r="H32" i="1" s="1"/>
  <c r="G35" i="1"/>
  <c r="H35" i="1" s="1"/>
  <c r="G36" i="1"/>
  <c r="H36" i="1" s="1"/>
  <c r="G38" i="1"/>
  <c r="H38" i="1" s="1"/>
  <c r="G39" i="1"/>
  <c r="H39" i="1" s="1"/>
  <c r="G3" i="1"/>
  <c r="H3" i="1" s="1"/>
  <c r="D41" i="1"/>
  <c r="B46" i="1"/>
  <c r="B44" i="1"/>
  <c r="DM45" i="1" l="1"/>
  <c r="DJ45" i="1"/>
  <c r="I45" i="1"/>
  <c r="DY45" i="1"/>
  <c r="H42" i="1"/>
  <c r="H41" i="1"/>
  <c r="H43" i="1"/>
  <c r="HT5" i="1" l="1"/>
  <c r="HV10" i="1"/>
  <c r="HW10" i="1" s="1"/>
  <c r="HV12" i="1"/>
  <c r="HW12" i="1" s="1"/>
  <c r="HV14" i="1"/>
  <c r="HW14" i="1" s="1"/>
  <c r="HV15" i="1"/>
  <c r="HW15" i="1" s="1"/>
  <c r="HV24" i="1"/>
  <c r="HW24" i="1" s="1"/>
  <c r="HV28" i="1"/>
  <c r="HW28" i="1" s="1"/>
  <c r="HV29" i="1"/>
  <c r="HW29" i="1" s="1"/>
  <c r="HV30" i="1"/>
  <c r="HW30" i="1" s="1"/>
  <c r="HV33" i="1"/>
  <c r="HW33" i="1" s="1"/>
  <c r="HV34" i="1"/>
  <c r="HW34" i="1" s="1"/>
  <c r="HV37" i="1"/>
  <c r="HW37" i="1" s="1"/>
  <c r="HV4" i="1"/>
  <c r="HW4" i="1" s="1"/>
  <c r="HV6" i="1"/>
  <c r="HW6" i="1" s="1"/>
  <c r="HV8" i="1"/>
  <c r="HW8" i="1" s="1"/>
  <c r="HV13" i="1"/>
  <c r="HW13" i="1" s="1"/>
  <c r="HV16" i="1"/>
  <c r="HW16" i="1" s="1"/>
  <c r="HV19" i="1"/>
  <c r="HW19" i="1" s="1"/>
  <c r="HV20" i="1"/>
  <c r="HW20" i="1" s="1"/>
  <c r="HV21" i="1"/>
  <c r="HW21" i="1" s="1"/>
  <c r="HV22" i="1"/>
  <c r="HW22" i="1" s="1"/>
  <c r="HV31" i="1"/>
  <c r="HW31" i="1" s="1"/>
  <c r="HV35" i="1"/>
  <c r="HW35" i="1" s="1"/>
  <c r="HV36" i="1"/>
  <c r="HW36" i="1" s="1"/>
  <c r="HV38" i="1"/>
  <c r="HW38" i="1" s="1"/>
  <c r="HV39" i="1"/>
  <c r="HW39" i="1" s="1"/>
  <c r="HV5" i="1"/>
  <c r="HW5" i="1" s="1"/>
  <c r="HT20" i="1"/>
  <c r="HU20" i="1" s="1"/>
  <c r="HU5" i="1"/>
  <c r="HT10" i="1"/>
  <c r="HU10" i="1" s="1"/>
  <c r="HT12" i="1"/>
  <c r="HU12" i="1" s="1"/>
  <c r="HT14" i="1"/>
  <c r="HU14" i="1" s="1"/>
  <c r="HT15" i="1"/>
  <c r="HU15" i="1" s="1"/>
  <c r="HT17" i="1"/>
  <c r="HU17" i="1" s="1"/>
  <c r="HT24" i="1"/>
  <c r="HU24" i="1" s="1"/>
  <c r="HT28" i="1"/>
  <c r="HU28" i="1" s="1"/>
  <c r="HT29" i="1"/>
  <c r="HU29" i="1" s="1"/>
  <c r="HT30" i="1"/>
  <c r="HU30" i="1" s="1"/>
  <c r="HT33" i="1"/>
  <c r="HU33" i="1" s="1"/>
  <c r="HT34" i="1"/>
  <c r="HU34" i="1" s="1"/>
  <c r="HT37" i="1"/>
  <c r="HU37" i="1" s="1"/>
  <c r="HT4" i="1"/>
  <c r="HU4" i="1" s="1"/>
  <c r="HT6" i="1"/>
  <c r="HU6" i="1" s="1"/>
  <c r="HT8" i="1"/>
  <c r="HU8" i="1" s="1"/>
  <c r="HT11" i="1"/>
  <c r="HT13" i="1"/>
  <c r="HU13" i="1" s="1"/>
  <c r="HT16" i="1"/>
  <c r="HU16" i="1" s="1"/>
  <c r="HT19" i="1"/>
  <c r="HU19" i="1" s="1"/>
  <c r="HT21" i="1"/>
  <c r="HU21" i="1" s="1"/>
  <c r="HT22" i="1"/>
  <c r="HU22" i="1" s="1"/>
  <c r="HT31" i="1"/>
  <c r="HU31" i="1" s="1"/>
  <c r="HT35" i="1"/>
  <c r="HU35" i="1" s="1"/>
  <c r="HT36" i="1"/>
  <c r="HU36" i="1" s="1"/>
  <c r="HT38" i="1"/>
  <c r="HU38" i="1" s="1"/>
  <c r="HT39" i="1"/>
  <c r="HU39" i="1" s="1"/>
  <c r="HT58" i="1"/>
  <c r="HT59" i="1"/>
  <c r="HT60" i="1"/>
  <c r="HT61" i="1"/>
  <c r="HT62" i="1"/>
  <c r="HM7" i="2" l="1"/>
  <c r="HK7" i="2"/>
  <c r="HL7" i="2" s="1"/>
  <c r="HI7" i="2"/>
  <c r="HJ7" i="2" s="1"/>
  <c r="HG7" i="2"/>
  <c r="HH7" i="2" s="1"/>
  <c r="HM2" i="2"/>
  <c r="HM14" i="2"/>
  <c r="HK14" i="2"/>
  <c r="HL14" i="2" s="1"/>
  <c r="HI14" i="2"/>
  <c r="HJ14" i="2" s="1"/>
  <c r="HG14" i="2"/>
  <c r="HH14" i="2" s="1"/>
  <c r="HK19" i="2"/>
  <c r="HI19" i="2"/>
  <c r="HJ19" i="2" s="1"/>
  <c r="HG19" i="2"/>
  <c r="HH19" i="2" s="1"/>
  <c r="HM17" i="2"/>
  <c r="HK17" i="2"/>
  <c r="HL17" i="2" s="1"/>
  <c r="HI17" i="2"/>
  <c r="HJ17" i="2" s="1"/>
  <c r="HG17" i="2"/>
  <c r="HH17" i="2" s="1"/>
  <c r="HI20" i="2"/>
  <c r="HJ20" i="2" s="1"/>
  <c r="HG20" i="2"/>
  <c r="HH20" i="2" s="1"/>
  <c r="HK22" i="2"/>
  <c r="HI22" i="2"/>
  <c r="HJ22" i="2" s="1"/>
  <c r="HG22" i="2"/>
  <c r="HH22" i="2" s="1"/>
  <c r="HM18" i="2"/>
  <c r="HK18" i="2"/>
  <c r="HL18" i="2" s="1"/>
  <c r="HI18" i="2"/>
  <c r="HJ18" i="2" s="1"/>
  <c r="HG18" i="2"/>
  <c r="HH18" i="2" s="1"/>
  <c r="HM21" i="2"/>
  <c r="HK21" i="2"/>
  <c r="HL21" i="2" s="1"/>
  <c r="HI21" i="2"/>
  <c r="HJ21" i="2" s="1"/>
  <c r="HG21" i="2"/>
  <c r="HH21" i="2" s="1"/>
  <c r="HK8" i="2"/>
  <c r="HI8" i="2"/>
  <c r="HJ8" i="2" s="1"/>
  <c r="HG8" i="2"/>
  <c r="HH8" i="2" s="1"/>
  <c r="HI13" i="2"/>
  <c r="HJ13" i="2" s="1"/>
  <c r="HG13" i="2"/>
  <c r="HH13" i="2" s="1"/>
  <c r="HM15" i="2"/>
  <c r="HK15" i="2"/>
  <c r="HL15" i="2" s="1"/>
  <c r="HI15" i="2"/>
  <c r="HJ15" i="2" s="1"/>
  <c r="HG15" i="2"/>
  <c r="HH15" i="2" s="1"/>
  <c r="HI16" i="2"/>
  <c r="HJ16" i="2" s="1"/>
  <c r="HG16" i="2"/>
  <c r="HH16" i="2" s="1"/>
  <c r="HM11" i="2"/>
  <c r="HL11" i="2"/>
  <c r="HI11" i="2"/>
  <c r="HJ11" i="2" s="1"/>
  <c r="HG11" i="2"/>
  <c r="HH11" i="2" s="1"/>
  <c r="HI10" i="2"/>
  <c r="HJ10" i="2" s="1"/>
  <c r="HG10" i="2"/>
  <c r="HH10" i="2" s="1"/>
  <c r="HI9" i="2"/>
  <c r="HJ9" i="2" s="1"/>
  <c r="HG9" i="2"/>
  <c r="HH9" i="2" s="1"/>
  <c r="HI12" i="2"/>
  <c r="HJ12" i="2" s="1"/>
  <c r="HG12" i="2"/>
  <c r="HH12" i="2" s="1"/>
  <c r="HM6" i="2"/>
  <c r="HL6" i="2"/>
  <c r="HI6" i="2"/>
  <c r="HJ6" i="2" s="1"/>
  <c r="HG6" i="2"/>
  <c r="HH6" i="2" s="1"/>
  <c r="HM5" i="2"/>
  <c r="HL5" i="2"/>
  <c r="HI5" i="2"/>
  <c r="HJ5" i="2" s="1"/>
  <c r="HG5" i="2"/>
  <c r="HH5" i="2" s="1"/>
  <c r="HI3" i="2"/>
  <c r="HJ3" i="2" s="1"/>
  <c r="HG3" i="2"/>
  <c r="HH3" i="2" s="1"/>
  <c r="HI4" i="2"/>
  <c r="HJ4" i="2" s="1"/>
  <c r="HG4" i="2"/>
  <c r="HH4" i="2" s="1"/>
  <c r="HL2" i="2"/>
  <c r="HI2" i="2"/>
  <c r="HJ2" i="2" s="1"/>
  <c r="HG2" i="2"/>
  <c r="HH2" i="2" s="1"/>
  <c r="HM4" i="3"/>
  <c r="HK4" i="3"/>
  <c r="HL4" i="3" s="1"/>
  <c r="HI4" i="3"/>
  <c r="HJ4" i="3" s="1"/>
  <c r="HG4" i="3"/>
  <c r="HH4" i="3" s="1"/>
  <c r="HI12" i="3"/>
  <c r="HJ12" i="3" s="1"/>
  <c r="HG12" i="3"/>
  <c r="HH12" i="3" s="1"/>
  <c r="HI13" i="3"/>
  <c r="HJ13" i="3" s="1"/>
  <c r="HG13" i="3"/>
  <c r="HH13" i="3" s="1"/>
  <c r="HM2" i="3"/>
  <c r="HK2" i="3"/>
  <c r="HL2" i="3" s="1"/>
  <c r="HI2" i="3"/>
  <c r="HJ2" i="3" s="1"/>
  <c r="HG2" i="3"/>
  <c r="HH2" i="3" s="1"/>
  <c r="HI18" i="3"/>
  <c r="HJ18" i="3" s="1"/>
  <c r="HG18" i="3"/>
  <c r="HH18" i="3" s="1"/>
  <c r="HM21" i="3"/>
  <c r="HK21" i="3"/>
  <c r="HL21" i="3" s="1"/>
  <c r="HI21" i="3"/>
  <c r="HJ21" i="3" s="1"/>
  <c r="HG21" i="3"/>
  <c r="HH21" i="3" s="1"/>
  <c r="HM23" i="3"/>
  <c r="HK23" i="3"/>
  <c r="HL23" i="3" s="1"/>
  <c r="HI23" i="3"/>
  <c r="HJ23" i="3" s="1"/>
  <c r="HG23" i="3"/>
  <c r="HH23" i="3" s="1"/>
  <c r="HK22" i="3"/>
  <c r="HI22" i="3"/>
  <c r="HJ22" i="3" s="1"/>
  <c r="HG22" i="3"/>
  <c r="HH22" i="3" s="1"/>
  <c r="HK11" i="3"/>
  <c r="HI11" i="3"/>
  <c r="HJ11" i="3" s="1"/>
  <c r="HG11" i="3"/>
  <c r="HH11" i="3" s="1"/>
  <c r="HM19" i="3"/>
  <c r="HK19" i="3"/>
  <c r="HL19" i="3" s="1"/>
  <c r="HI19" i="3"/>
  <c r="HJ19" i="3" s="1"/>
  <c r="HG19" i="3"/>
  <c r="HH19" i="3" s="1"/>
  <c r="HM10" i="3"/>
  <c r="HK10" i="3"/>
  <c r="HL10" i="3" s="1"/>
  <c r="HI10" i="3"/>
  <c r="HJ10" i="3" s="1"/>
  <c r="HG10" i="3"/>
  <c r="HH10" i="3" s="1"/>
  <c r="HM20" i="3"/>
  <c r="HK20" i="3"/>
  <c r="HL20" i="3" s="1"/>
  <c r="HI20" i="3"/>
  <c r="HJ20" i="3" s="1"/>
  <c r="HG20" i="3"/>
  <c r="HH20" i="3" s="1"/>
  <c r="HM16" i="3"/>
  <c r="HL16" i="3"/>
  <c r="HI16" i="3"/>
  <c r="HJ16" i="3" s="1"/>
  <c r="HG16" i="3"/>
  <c r="HH16" i="3" s="1"/>
  <c r="HL14" i="3"/>
  <c r="HI14" i="3"/>
  <c r="HJ14" i="3" s="1"/>
  <c r="HG14" i="3"/>
  <c r="HH14" i="3" s="1"/>
  <c r="HI17" i="3"/>
  <c r="HJ17" i="3" s="1"/>
  <c r="HG17" i="3"/>
  <c r="HH17" i="3" s="1"/>
  <c r="HI15" i="3"/>
  <c r="HJ15" i="3" s="1"/>
  <c r="HG15" i="3"/>
  <c r="HH15" i="3" s="1"/>
  <c r="HM8" i="3"/>
  <c r="HK8" i="3"/>
  <c r="HL8" i="3" s="1"/>
  <c r="HI8" i="3"/>
  <c r="HJ8" i="3" s="1"/>
  <c r="HG8" i="3"/>
  <c r="HH8" i="3" s="1"/>
  <c r="HI9" i="3"/>
  <c r="HJ9" i="3" s="1"/>
  <c r="HG9" i="3"/>
  <c r="HH9" i="3" s="1"/>
  <c r="HM7" i="3"/>
  <c r="HK7" i="3"/>
  <c r="HL7" i="3" s="1"/>
  <c r="HI7" i="3"/>
  <c r="HJ7" i="3" s="1"/>
  <c r="HG7" i="3"/>
  <c r="HH7" i="3" s="1"/>
  <c r="HM6" i="3"/>
  <c r="HK6" i="3"/>
  <c r="HL6" i="3" s="1"/>
  <c r="HI6" i="3"/>
  <c r="HJ6" i="3" s="1"/>
  <c r="HG6" i="3"/>
  <c r="HH6" i="3" s="1"/>
  <c r="HM5" i="3"/>
  <c r="HK5" i="3"/>
  <c r="HL5" i="3" s="1"/>
  <c r="HI5" i="3"/>
  <c r="HJ5" i="3" s="1"/>
  <c r="HG5" i="3"/>
  <c r="HH5" i="3" s="1"/>
  <c r="HM3" i="3"/>
  <c r="HK3" i="3"/>
  <c r="HL3" i="3" s="1"/>
  <c r="HI3" i="3"/>
  <c r="HJ3" i="3" s="1"/>
  <c r="HG3" i="3"/>
  <c r="HH3" i="3" s="1"/>
  <c r="HQ29" i="1"/>
  <c r="HQ27" i="1"/>
  <c r="HQ26" i="1"/>
  <c r="HQ25" i="1"/>
  <c r="HR25" i="1" s="1"/>
  <c r="HQ60" i="1"/>
  <c r="HQ58" i="1"/>
  <c r="HQ10" i="1"/>
  <c r="HQ9" i="1"/>
  <c r="HQ5" i="1"/>
  <c r="HQ3" i="1"/>
  <c r="HR3" i="1" s="1"/>
  <c r="HQ24" i="1"/>
  <c r="HR24" i="1" s="1"/>
  <c r="HQ28" i="1"/>
  <c r="HQ33" i="1"/>
  <c r="HQ37" i="1"/>
  <c r="HQ32" i="1"/>
  <c r="HQ62" i="1"/>
  <c r="HQ31" i="1"/>
  <c r="HR31" i="1" s="1"/>
  <c r="HQ23" i="1"/>
  <c r="HQ21" i="1"/>
  <c r="HQ36" i="1"/>
  <c r="HQ38" i="1"/>
  <c r="HQ39" i="1"/>
  <c r="HN23" i="1"/>
  <c r="HL23" i="1"/>
  <c r="HM23" i="1" s="1"/>
  <c r="HN7" i="1"/>
  <c r="HL7" i="1"/>
  <c r="HM7" i="1" s="1"/>
  <c r="HN26" i="1"/>
  <c r="HL26" i="1"/>
  <c r="HM26" i="1" s="1"/>
  <c r="HN38" i="1"/>
  <c r="HL38" i="1"/>
  <c r="HM38" i="1" s="1"/>
  <c r="HN32" i="1"/>
  <c r="HL32" i="1"/>
  <c r="HM32" i="1" s="1"/>
  <c r="HN27" i="1"/>
  <c r="HL27" i="1"/>
  <c r="HM27" i="1" s="1"/>
  <c r="HN18" i="1"/>
  <c r="HO18" i="1" s="1"/>
  <c r="HL18" i="1"/>
  <c r="HM18" i="1" s="1"/>
  <c r="HN12" i="1"/>
  <c r="HL12" i="1"/>
  <c r="HM12" i="1" s="1"/>
  <c r="HN30" i="1"/>
  <c r="HL30" i="1"/>
  <c r="HM30" i="1" s="1"/>
  <c r="HR17" i="1"/>
  <c r="HN17" i="1"/>
  <c r="HS17" i="1"/>
  <c r="HS25" i="1"/>
  <c r="HS31" i="1"/>
  <c r="HS59" i="1"/>
  <c r="HS3" i="1"/>
  <c r="HS24" i="1"/>
  <c r="HR59" i="1"/>
  <c r="HN25" i="1"/>
  <c r="HN31" i="1"/>
  <c r="HN59" i="1"/>
  <c r="HN3" i="1"/>
  <c r="HN24" i="1"/>
  <c r="HL24" i="1"/>
  <c r="HM24" i="1" s="1"/>
  <c r="HO26" i="1" l="1"/>
  <c r="HP26" i="1"/>
  <c r="HO23" i="1"/>
  <c r="HP23" i="1"/>
  <c r="HO31" i="1"/>
  <c r="HO27" i="1"/>
  <c r="HP27" i="1"/>
  <c r="HO7" i="1"/>
  <c r="HP7" i="1"/>
  <c r="HO59" i="1"/>
  <c r="HP18" i="1"/>
  <c r="HO32" i="1"/>
  <c r="HP32" i="1"/>
  <c r="HO30" i="1"/>
  <c r="HP30" i="1"/>
  <c r="HO12" i="1"/>
  <c r="HP12" i="1"/>
  <c r="HO24" i="1"/>
  <c r="HP24" i="1"/>
  <c r="HO17" i="1"/>
  <c r="HO25" i="1"/>
  <c r="HO3" i="1"/>
  <c r="HO38" i="1"/>
  <c r="HP38" i="1"/>
  <c r="HL3" i="1"/>
  <c r="HM3" i="1" s="1"/>
  <c r="HL59" i="1"/>
  <c r="HM59" i="1" s="1"/>
  <c r="HL31" i="1"/>
  <c r="HM31" i="1" s="1"/>
  <c r="HL25" i="1"/>
  <c r="HM25" i="1" s="1"/>
  <c r="HN14" i="1"/>
  <c r="HS29" i="1"/>
  <c r="HS28" i="1"/>
  <c r="HS10" i="1"/>
  <c r="HS60" i="1"/>
  <c r="HS5" i="1"/>
  <c r="HS58" i="1"/>
  <c r="HS33" i="1"/>
  <c r="HS37" i="1"/>
  <c r="HS9" i="1"/>
  <c r="HS8" i="1"/>
  <c r="HS4" i="1"/>
  <c r="HS36" i="1"/>
  <c r="HS39" i="1"/>
  <c r="HS62" i="1"/>
  <c r="HS21" i="1"/>
  <c r="HS11" i="1"/>
  <c r="HS19" i="1"/>
  <c r="HR29" i="1"/>
  <c r="HR28" i="1"/>
  <c r="HR10" i="1"/>
  <c r="HR60" i="1"/>
  <c r="HR5" i="1"/>
  <c r="HR58" i="1"/>
  <c r="HR33" i="1"/>
  <c r="HR37" i="1"/>
  <c r="HR9" i="1"/>
  <c r="HR8" i="1"/>
  <c r="HR4" i="1"/>
  <c r="HR36" i="1"/>
  <c r="HR39" i="1"/>
  <c r="HR62" i="1"/>
  <c r="HR21" i="1"/>
  <c r="HR11" i="1"/>
  <c r="HR19" i="1"/>
  <c r="HN19" i="1"/>
  <c r="HL19" i="1"/>
  <c r="HM19" i="1" s="1"/>
  <c r="HN11" i="1"/>
  <c r="HL11" i="1"/>
  <c r="HM11" i="1" s="1"/>
  <c r="HN21" i="1"/>
  <c r="HL21" i="1"/>
  <c r="HM21" i="1" s="1"/>
  <c r="HN15" i="1"/>
  <c r="HN34" i="1"/>
  <c r="HN29" i="1"/>
  <c r="HN61" i="1"/>
  <c r="HN28" i="1"/>
  <c r="HN10" i="1"/>
  <c r="HN60" i="1"/>
  <c r="HN5" i="1"/>
  <c r="HN58" i="1"/>
  <c r="HN33" i="1"/>
  <c r="HN37" i="1"/>
  <c r="HN9" i="1"/>
  <c r="HN22" i="1"/>
  <c r="HN16" i="1"/>
  <c r="HN20" i="1"/>
  <c r="HN35" i="1"/>
  <c r="HN6" i="1"/>
  <c r="HN13" i="1"/>
  <c r="HN8" i="1"/>
  <c r="HN4" i="1"/>
  <c r="HN36" i="1"/>
  <c r="HN39" i="1"/>
  <c r="HN62" i="1"/>
  <c r="HL17" i="1"/>
  <c r="HM17" i="1" s="1"/>
  <c r="HL15" i="1"/>
  <c r="HM15" i="1" s="1"/>
  <c r="HL34" i="1"/>
  <c r="HM34" i="1" s="1"/>
  <c r="HL29" i="1"/>
  <c r="HM29" i="1" s="1"/>
  <c r="HL61" i="1"/>
  <c r="HM61" i="1" s="1"/>
  <c r="HL28" i="1"/>
  <c r="HM28" i="1" s="1"/>
  <c r="HL10" i="1"/>
  <c r="HM10" i="1" s="1"/>
  <c r="HL60" i="1"/>
  <c r="HM60" i="1" s="1"/>
  <c r="HL5" i="1"/>
  <c r="HM5" i="1" s="1"/>
  <c r="HL58" i="1"/>
  <c r="HM58" i="1" s="1"/>
  <c r="HL33" i="1"/>
  <c r="HM33" i="1" s="1"/>
  <c r="HL37" i="1"/>
  <c r="HM37" i="1" s="1"/>
  <c r="HL9" i="1"/>
  <c r="HM9" i="1" s="1"/>
  <c r="HL22" i="1"/>
  <c r="HM22" i="1" s="1"/>
  <c r="HL16" i="1"/>
  <c r="HM16" i="1" s="1"/>
  <c r="HL20" i="1"/>
  <c r="HM20" i="1" s="1"/>
  <c r="HL35" i="1"/>
  <c r="HM35" i="1" s="1"/>
  <c r="HL6" i="1"/>
  <c r="HM6" i="1" s="1"/>
  <c r="HL13" i="1"/>
  <c r="HM13" i="1" s="1"/>
  <c r="HL8" i="1"/>
  <c r="HM8" i="1" s="1"/>
  <c r="HL4" i="1"/>
  <c r="HM4" i="1" s="1"/>
  <c r="HL36" i="1"/>
  <c r="HM36" i="1" s="1"/>
  <c r="HL39" i="1"/>
  <c r="HM39" i="1" s="1"/>
  <c r="HL62" i="1"/>
  <c r="HM62" i="1" s="1"/>
  <c r="HL14" i="1"/>
  <c r="HM14" i="1" s="1"/>
  <c r="HP59" i="1" l="1"/>
  <c r="HP17" i="1"/>
  <c r="HO58" i="1"/>
  <c r="HP58" i="1"/>
  <c r="HO11" i="1"/>
  <c r="HP11" i="1"/>
  <c r="HO36" i="1"/>
  <c r="HP36" i="1"/>
  <c r="HO4" i="1"/>
  <c r="HP4" i="1"/>
  <c r="HO8" i="1"/>
  <c r="HP8" i="1"/>
  <c r="HO28" i="1"/>
  <c r="HP28" i="1"/>
  <c r="HO20" i="1"/>
  <c r="HP20" i="1"/>
  <c r="HO29" i="1"/>
  <c r="HP29" i="1"/>
  <c r="HP31" i="1"/>
  <c r="HO5" i="1"/>
  <c r="HP5" i="1"/>
  <c r="HO19" i="1"/>
  <c r="HP19" i="1"/>
  <c r="HO13" i="1"/>
  <c r="HP13" i="1"/>
  <c r="HO6" i="1"/>
  <c r="HP6" i="1"/>
  <c r="HO35" i="1"/>
  <c r="HP35" i="1"/>
  <c r="HO16" i="1"/>
  <c r="HP16" i="1"/>
  <c r="HO34" i="1"/>
  <c r="HP34" i="1"/>
  <c r="HO22" i="1"/>
  <c r="HP22" i="1"/>
  <c r="HO15" i="1"/>
  <c r="HP15" i="1"/>
  <c r="HP3" i="1"/>
  <c r="HO60" i="1"/>
  <c r="HP60" i="1"/>
  <c r="HO9" i="1"/>
  <c r="HP9" i="1"/>
  <c r="HO14" i="1"/>
  <c r="HP14" i="1"/>
  <c r="HO10" i="1"/>
  <c r="HP10" i="1"/>
  <c r="HO62" i="1"/>
  <c r="HP62" i="1"/>
  <c r="HO37" i="1"/>
  <c r="HP37" i="1"/>
  <c r="HO21" i="1"/>
  <c r="HP21" i="1"/>
  <c r="HP25" i="1"/>
  <c r="HO61" i="1"/>
  <c r="HP61" i="1"/>
  <c r="HO39" i="1"/>
  <c r="HP39" i="1"/>
  <c r="HO33" i="1"/>
  <c r="HP33" i="1"/>
</calcChain>
</file>

<file path=xl/sharedStrings.xml><?xml version="1.0" encoding="utf-8"?>
<sst xmlns="http://schemas.openxmlformats.org/spreadsheetml/2006/main" count="3908" uniqueCount="418">
  <si>
    <t>NOM</t>
  </si>
  <si>
    <t>PRENOM</t>
  </si>
  <si>
    <t>DATE DE NAISSANCE</t>
  </si>
  <si>
    <t>AGE</t>
  </si>
  <si>
    <t>POIDS</t>
  </si>
  <si>
    <t>TAILLE</t>
  </si>
  <si>
    <t>IMC</t>
  </si>
  <si>
    <t>FEMME</t>
  </si>
  <si>
    <t>HOMME</t>
  </si>
  <si>
    <t>TABAC 0 = non 1 = tabagisme actif 2 = tabagisme sevré</t>
  </si>
  <si>
    <t>RAYNAUD</t>
  </si>
  <si>
    <t>DIABETE</t>
  </si>
  <si>
    <t>INSULINE</t>
  </si>
  <si>
    <t>ATTEINTE RENALE</t>
  </si>
  <si>
    <t>ATTEINTE NEURO</t>
  </si>
  <si>
    <t>ATTEINTE OPHTALMO</t>
  </si>
  <si>
    <t>HTA</t>
  </si>
  <si>
    <t>INSUFFISANCE R2NALE CHRONIQUE</t>
  </si>
  <si>
    <t>AVC</t>
  </si>
  <si>
    <t>CORONAROPATHIE</t>
  </si>
  <si>
    <t>AOMI</t>
  </si>
  <si>
    <t>CIRRHOSE</t>
  </si>
  <si>
    <t>CANCER SOLIDE</t>
  </si>
  <si>
    <t>TT CANCER EN COURS</t>
  </si>
  <si>
    <t>H2MOPATHIE</t>
  </si>
  <si>
    <t>TT  HEMOPATHIE EN COURS</t>
  </si>
  <si>
    <t>CORTICOTHERAPIE LONG COURS / NOM POSOLOGIE</t>
  </si>
  <si>
    <t>MALADIE RESPIRATOIRE CHRONIQUE</t>
  </si>
  <si>
    <t>VIH</t>
  </si>
  <si>
    <t>CARDIOPATHIE</t>
  </si>
  <si>
    <t>FEVG</t>
  </si>
  <si>
    <t>CARDIOPATHIE SYSTOLIQUE</t>
  </si>
  <si>
    <t>CARDIOPATHIE DIASTOLIQUE</t>
  </si>
  <si>
    <t xml:space="preserve">CARDIOPATHIE VALVULAIRE </t>
  </si>
  <si>
    <t>CARDIOPATHIE RYTHMIQUE</t>
  </si>
  <si>
    <t>DATE ADMISSION</t>
  </si>
  <si>
    <t>MOTIF ADMISSION</t>
  </si>
  <si>
    <t>SEPTIQUE = 1 Non septique = 0</t>
  </si>
  <si>
    <t>CHOC SEPTIQUE</t>
  </si>
  <si>
    <t>CHOC HEMORRAGIQUE</t>
  </si>
  <si>
    <t>CHOC HYPOVOLEMIQUE</t>
  </si>
  <si>
    <t>CHOC CARDIOGENIQUE</t>
  </si>
  <si>
    <t>SAPSII</t>
  </si>
  <si>
    <t>SOFA ADMISSION</t>
  </si>
  <si>
    <t>SOFA CARDIO</t>
  </si>
  <si>
    <t>SOFA RESPI</t>
  </si>
  <si>
    <t>SOFA NEURO</t>
  </si>
  <si>
    <t>SOFA REIN</t>
  </si>
  <si>
    <t>SOFA FOIE</t>
  </si>
  <si>
    <t xml:space="preserve">SOFA COAGULATION </t>
  </si>
  <si>
    <t>LEUCOCYTES H0</t>
  </si>
  <si>
    <t>PLAQUETTES H0</t>
  </si>
  <si>
    <t>NORADRENALINE</t>
  </si>
  <si>
    <t>DOBUTAMINE</t>
  </si>
  <si>
    <t>ADRENALINE</t>
  </si>
  <si>
    <t>PROPOFOL</t>
  </si>
  <si>
    <t>SUFENTANYL</t>
  </si>
  <si>
    <t>MIDAZOLAM</t>
  </si>
  <si>
    <t>CURARES</t>
  </si>
  <si>
    <t>PAM</t>
  </si>
  <si>
    <t>FC</t>
  </si>
  <si>
    <t>DEBIT CARDIAQUE</t>
  </si>
  <si>
    <t>VPP</t>
  </si>
  <si>
    <t>MARBRURES</t>
  </si>
  <si>
    <t>TRC INDEX</t>
  </si>
  <si>
    <t>FLUX DOPPER MOYEN</t>
  </si>
  <si>
    <t>FLUX DOPPLER ECART TYPE</t>
  </si>
  <si>
    <t>FLUX DOPPLER MIN</t>
  </si>
  <si>
    <t>FLUX DOPPLER MAX</t>
  </si>
  <si>
    <t>SOFA COAG</t>
  </si>
  <si>
    <t>HEMOGLOBINE</t>
  </si>
  <si>
    <t>PROTIDES</t>
  </si>
  <si>
    <t>UREE</t>
  </si>
  <si>
    <t>CREATININE</t>
  </si>
  <si>
    <t xml:space="preserve">NA </t>
  </si>
  <si>
    <t xml:space="preserve">CHLORE </t>
  </si>
  <si>
    <t xml:space="preserve">BILIRUBINE </t>
  </si>
  <si>
    <t xml:space="preserve">CRP </t>
  </si>
  <si>
    <t xml:space="preserve">PCT </t>
  </si>
  <si>
    <t xml:space="preserve">ALBUMINE </t>
  </si>
  <si>
    <t xml:space="preserve">PH </t>
  </si>
  <si>
    <t xml:space="preserve">PAO2 </t>
  </si>
  <si>
    <t>PACO2</t>
  </si>
  <si>
    <t xml:space="preserve">BICARBONATES </t>
  </si>
  <si>
    <t xml:space="preserve">LACTATE </t>
  </si>
  <si>
    <t xml:space="preserve">TP </t>
  </si>
  <si>
    <t xml:space="preserve">FV </t>
  </si>
  <si>
    <t xml:space="preserve">ASAT </t>
  </si>
  <si>
    <t xml:space="preserve">ALAT </t>
  </si>
  <si>
    <t xml:space="preserve">LDH </t>
  </si>
  <si>
    <t>CPK</t>
  </si>
  <si>
    <t>quantité (ml)</t>
  </si>
  <si>
    <t>Modalités : NACL ou Ringer = 1 Albumine = 2</t>
  </si>
  <si>
    <t>PAS T0</t>
  </si>
  <si>
    <t>PAD T0</t>
  </si>
  <si>
    <t>PAM T0</t>
  </si>
  <si>
    <t>FC T0</t>
  </si>
  <si>
    <t>TEMPERATURE T0</t>
  </si>
  <si>
    <t>VENTILATION SPONTANEE T0</t>
  </si>
  <si>
    <t>VSAI T0</t>
  </si>
  <si>
    <t>VAC T0</t>
  </si>
  <si>
    <t>PEP T0</t>
  </si>
  <si>
    <t>FIO2 T0</t>
  </si>
  <si>
    <t>DEBIT O2 T0</t>
  </si>
  <si>
    <t>DEBIT CARDIAQUE T0</t>
  </si>
  <si>
    <t>FEVG VISUELLE T0</t>
  </si>
  <si>
    <t>VCI DIAMETRE MAX T0</t>
  </si>
  <si>
    <t>FLUCTUATION VCI T0</t>
  </si>
  <si>
    <t>VACITES DROITES DILATEES T0</t>
  </si>
  <si>
    <t>SEPTUM PARADOXAL T0</t>
  </si>
  <si>
    <t>E/A T0</t>
  </si>
  <si>
    <t>E/E' T0</t>
  </si>
  <si>
    <t>VPP T0</t>
  </si>
  <si>
    <t>MARBRURES T0</t>
  </si>
  <si>
    <t>TRC INDEX T0</t>
  </si>
  <si>
    <t>FLUX DOPPER MOYEN T0</t>
  </si>
  <si>
    <t>FLUX DOPPLER ECART TYPE T0</t>
  </si>
  <si>
    <t>FLUX DOPPLER MIN T0</t>
  </si>
  <si>
    <t>PVC</t>
  </si>
  <si>
    <t>GRADIENT A V CO2</t>
  </si>
  <si>
    <t>FLUX DOPPLER Max T0</t>
  </si>
  <si>
    <t>PAD LEVER JAMBES</t>
  </si>
  <si>
    <t>PAS  LEVER JAMBES</t>
  </si>
  <si>
    <t>PAS  RETOUR ASSIS</t>
  </si>
  <si>
    <t>PAD RETOUR ASSIS</t>
  </si>
  <si>
    <t>PAM RETOUR ASSIS</t>
  </si>
  <si>
    <t>FC RETOUR ASSIS</t>
  </si>
  <si>
    <t>DEBIT CARDIAQUE RETOUR ASSIS</t>
  </si>
  <si>
    <t>VPP RETOUR ASSIS</t>
  </si>
  <si>
    <t>TRC INDEX RETOUR ASSIS</t>
  </si>
  <si>
    <t>FLUX DOPPER MOYEN RETOUR ASSIS</t>
  </si>
  <si>
    <t>PAS  POST REMLPISSAGE</t>
  </si>
  <si>
    <t>PAD POST REMLPISSAGE</t>
  </si>
  <si>
    <t>PAM POST REMLPISSAGE</t>
  </si>
  <si>
    <t>FC POST REMLPISSAGE</t>
  </si>
  <si>
    <t>DEBIT CARDIAQUE POST REMLPISSAGE</t>
  </si>
  <si>
    <t>VPP POST REMLPISSAGE</t>
  </si>
  <si>
    <t>TRC INDEX POST REMLPISSAGE</t>
  </si>
  <si>
    <t>FLUX DOPPER MOYEN POST REMLPISSAGE</t>
  </si>
  <si>
    <t>FLUX DOPPLER ECART TYPE POST REMLPISSAGE</t>
  </si>
  <si>
    <t>FLUX DOPPLER MIN POST REMLPISSAGE</t>
  </si>
  <si>
    <t>FLUX DOPPLER MAX POST REMLPISSAGE</t>
  </si>
  <si>
    <t>BOURHANI</t>
  </si>
  <si>
    <t>IBRAHIM</t>
  </si>
  <si>
    <t>NC</t>
  </si>
  <si>
    <t>LEUCOCYTES INCLUSION</t>
  </si>
  <si>
    <t>ELIANE</t>
  </si>
  <si>
    <t>date inclusion</t>
  </si>
  <si>
    <t>delai admission inclusion</t>
  </si>
  <si>
    <t>poids inclusion</t>
  </si>
  <si>
    <t>SOFA inclusion</t>
  </si>
  <si>
    <t>HEMOGLOBINE INCLUSION</t>
  </si>
  <si>
    <t>PLAQUETTES INCLUSION</t>
  </si>
  <si>
    <t>PROTIDES INCLUSION</t>
  </si>
  <si>
    <t>UR2E INCLUSION</t>
  </si>
  <si>
    <t>CREAT INCLUSION</t>
  </si>
  <si>
    <t>NA INCLUSION</t>
  </si>
  <si>
    <t>CL INCLUSION</t>
  </si>
  <si>
    <t>BILIRUBINE INCLUSION</t>
  </si>
  <si>
    <t>CRP  INCLUSION</t>
  </si>
  <si>
    <t>PCT INCLUSION</t>
  </si>
  <si>
    <t>ALBUMINE INCLUSION</t>
  </si>
  <si>
    <t>PH INCLUSION</t>
  </si>
  <si>
    <t>PAO2 INCLUSION</t>
  </si>
  <si>
    <t>PACO2 INCLUSION</t>
  </si>
  <si>
    <t>BICARBONATES INCLUSION</t>
  </si>
  <si>
    <t>TP INCLUSION</t>
  </si>
  <si>
    <t>FV INCLUSION</t>
  </si>
  <si>
    <t>ASAT INCLUSION</t>
  </si>
  <si>
    <t>ALAT INCLUSION</t>
  </si>
  <si>
    <t>LDH INCLUSION</t>
  </si>
  <si>
    <t>CPK INCLUSION</t>
  </si>
  <si>
    <t>DERMOHYPODERMITE</t>
  </si>
  <si>
    <t>17 H</t>
  </si>
  <si>
    <t>LACTATE INCLUSION</t>
  </si>
  <si>
    <t>INDICATION REMPLISSAGE 1 =hypotension 2 = anomalie perfusion 3= hyperlactatémie</t>
  </si>
  <si>
    <t>nc</t>
  </si>
  <si>
    <t>DATE DECES</t>
  </si>
  <si>
    <t>FAROU MEYDIEU</t>
  </si>
  <si>
    <t>prednisolone 9 mg</t>
  </si>
  <si>
    <t>CHOC SEPTIQUE PNEUMONIE</t>
  </si>
  <si>
    <t>36 H</t>
  </si>
  <si>
    <t>1 + 2 + 3</t>
  </si>
  <si>
    <t>BWETU</t>
  </si>
  <si>
    <t>NADINE</t>
  </si>
  <si>
    <t>ETAT MAL EPILEPTIQUE</t>
  </si>
  <si>
    <t>12H</t>
  </si>
  <si>
    <t>WILLIAMS</t>
  </si>
  <si>
    <t>AMIRALDO</t>
  </si>
  <si>
    <t>MALADIE VEINO OCCLUSIVE HEPATIQUE</t>
  </si>
  <si>
    <t>0H</t>
  </si>
  <si>
    <t>2 + 3</t>
  </si>
  <si>
    <t>MONTEIRO MENGO</t>
  </si>
  <si>
    <t>JULIO CESAR</t>
  </si>
  <si>
    <t>CHOC SEPTIQUE FASCIITE</t>
  </si>
  <si>
    <t>7H</t>
  </si>
  <si>
    <t>KHURSHID</t>
  </si>
  <si>
    <t>SUMIAH</t>
  </si>
  <si>
    <t>SEPSIS INFECTION COULEE NECROSE</t>
  </si>
  <si>
    <t>18H</t>
  </si>
  <si>
    <t>FEUILLARD</t>
  </si>
  <si>
    <t>KARINE</t>
  </si>
  <si>
    <t>CHOC SEPTIQUE ?</t>
  </si>
  <si>
    <t>2H</t>
  </si>
  <si>
    <t>SINNIGER</t>
  </si>
  <si>
    <t>PHILIPPE</t>
  </si>
  <si>
    <t>13.5</t>
  </si>
  <si>
    <t>11.4</t>
  </si>
  <si>
    <t>7.44</t>
  </si>
  <si>
    <t>1.7</t>
  </si>
  <si>
    <t>10.8</t>
  </si>
  <si>
    <t>11.6</t>
  </si>
  <si>
    <t>6.2</t>
  </si>
  <si>
    <t>7.34</t>
  </si>
  <si>
    <t>1.1</t>
  </si>
  <si>
    <t>0.9</t>
  </si>
  <si>
    <t>4.2</t>
  </si>
  <si>
    <t>3.13</t>
  </si>
  <si>
    <t>14.13</t>
  </si>
  <si>
    <t>62.32</t>
  </si>
  <si>
    <t>135.8</t>
  </si>
  <si>
    <t>3.7</t>
  </si>
  <si>
    <t>10.31</t>
  </si>
  <si>
    <t>62.68</t>
  </si>
  <si>
    <t>118.65</t>
  </si>
  <si>
    <t>3.89</t>
  </si>
  <si>
    <t>4.4</t>
  </si>
  <si>
    <t>1.62</t>
  </si>
  <si>
    <t>14.82</t>
  </si>
  <si>
    <t>91.19</t>
  </si>
  <si>
    <t>175.14</t>
  </si>
  <si>
    <t>1.93</t>
  </si>
  <si>
    <t>8.38</t>
  </si>
  <si>
    <t>81.85</t>
  </si>
  <si>
    <t>121.89</t>
  </si>
  <si>
    <t>ORTACAY</t>
  </si>
  <si>
    <t>SULBIYE</t>
  </si>
  <si>
    <t>5H</t>
  </si>
  <si>
    <t>0.3</t>
  </si>
  <si>
    <t>37.5</t>
  </si>
  <si>
    <t>4.6</t>
  </si>
  <si>
    <t>0.6</t>
  </si>
  <si>
    <t>5.1</t>
  </si>
  <si>
    <t>4.35</t>
  </si>
  <si>
    <t>1.16</t>
  </si>
  <si>
    <t>9.58</t>
  </si>
  <si>
    <t>15.59</t>
  </si>
  <si>
    <t>5.2</t>
  </si>
  <si>
    <t>5.11</t>
  </si>
  <si>
    <t>1.4</t>
  </si>
  <si>
    <t>7.11</t>
  </si>
  <si>
    <t>16.2</t>
  </si>
  <si>
    <t>3.59</t>
  </si>
  <si>
    <t>10.74</t>
  </si>
  <si>
    <t>21.3</t>
  </si>
  <si>
    <t>CRISTALLOIDES 24H AVANT INCLUSION</t>
  </si>
  <si>
    <t>ALBUMINE 24H AVANT INCLUSION</t>
  </si>
  <si>
    <t>T0</t>
  </si>
  <si>
    <t>LEVER JAMBES</t>
  </si>
  <si>
    <t>Retour assis</t>
  </si>
  <si>
    <t>Fin remplissage</t>
  </si>
  <si>
    <t>E/A</t>
  </si>
  <si>
    <t>E/E'</t>
  </si>
  <si>
    <t>VCI</t>
  </si>
  <si>
    <t>Variation VCI</t>
  </si>
  <si>
    <t>15 minutes</t>
  </si>
  <si>
    <t>30 minutes</t>
  </si>
  <si>
    <t>72H</t>
  </si>
  <si>
    <t>NA</t>
  </si>
  <si>
    <t>PAS</t>
  </si>
  <si>
    <t xml:space="preserve">PAD </t>
  </si>
  <si>
    <t xml:space="preserve">PAM </t>
  </si>
  <si>
    <t xml:space="preserve">FC </t>
  </si>
  <si>
    <t xml:space="preserve">VPP </t>
  </si>
  <si>
    <t xml:space="preserve">TRC INDEX </t>
  </si>
  <si>
    <t xml:space="preserve">FLUX DOPPER MOYEN </t>
  </si>
  <si>
    <t xml:space="preserve">PAS </t>
  </si>
  <si>
    <t>DECES</t>
  </si>
  <si>
    <t>EER</t>
  </si>
  <si>
    <t>MERO LOOR</t>
  </si>
  <si>
    <t>EDDY</t>
  </si>
  <si>
    <t>ARRET CARDIO RESPIRATOIRE</t>
  </si>
  <si>
    <t>N</t>
  </si>
  <si>
    <t>HAGEGE</t>
  </si>
  <si>
    <t>VICTOR</t>
  </si>
  <si>
    <t>DETRESSERESPIRATOIRE</t>
  </si>
  <si>
    <t>40H</t>
  </si>
  <si>
    <t>KEDDACHE</t>
  </si>
  <si>
    <t>ALI</t>
  </si>
  <si>
    <t xml:space="preserve">SEPSIS  </t>
  </si>
  <si>
    <t>PIERRE</t>
  </si>
  <si>
    <t>FRANCINE</t>
  </si>
  <si>
    <t>AIT AMROUCHE</t>
  </si>
  <si>
    <t>AKLI</t>
  </si>
  <si>
    <t>48H</t>
  </si>
  <si>
    <t>DE OLIVEIRA SILVA</t>
  </si>
  <si>
    <t>JORGE</t>
  </si>
  <si>
    <t>COMA</t>
  </si>
  <si>
    <t>ROOTS</t>
  </si>
  <si>
    <t>MAIDO</t>
  </si>
  <si>
    <t>1 + 3</t>
  </si>
  <si>
    <t>HEMORRAGIE DIGESTIVE + PNP INHALATION</t>
  </si>
  <si>
    <t>BUTZKE</t>
  </si>
  <si>
    <t>HERVE</t>
  </si>
  <si>
    <t>ENCEPHALOPATHIE HEPATIQUE</t>
  </si>
  <si>
    <t>EL OUAZANI</t>
  </si>
  <si>
    <t>MOHAMED</t>
  </si>
  <si>
    <t>DETRESSE RESPI PNEUMONIE + INFARCTUS</t>
  </si>
  <si>
    <t>36H</t>
  </si>
  <si>
    <t>DORLYS</t>
  </si>
  <si>
    <t>CHRISMENE</t>
  </si>
  <si>
    <t>90 MG PREDNISONE</t>
  </si>
  <si>
    <t>GORAND KARASINSKI</t>
  </si>
  <si>
    <t>VERONIQUE</t>
  </si>
  <si>
    <t>NCX</t>
  </si>
  <si>
    <t>CETOSE OH + JEUNE</t>
  </si>
  <si>
    <t>ABOULIN</t>
  </si>
  <si>
    <t>GILLES</t>
  </si>
  <si>
    <t>1H</t>
  </si>
  <si>
    <t>MOUKY</t>
  </si>
  <si>
    <t>IGNACE</t>
  </si>
  <si>
    <t>CHOC SEPTIQUE COMA ETAT DE MAL</t>
  </si>
  <si>
    <t>MERLAUD</t>
  </si>
  <si>
    <t>DIDIER</t>
  </si>
  <si>
    <t>delta lever jambes</t>
  </si>
  <si>
    <t>delta post remplissage</t>
  </si>
  <si>
    <t>POIBLANC</t>
  </si>
  <si>
    <t>NICOLE</t>
  </si>
  <si>
    <t>COMA IMV + SEPSIS PULMONAIRE</t>
  </si>
  <si>
    <t>BOURGEON</t>
  </si>
  <si>
    <t>JEAN PIERRE</t>
  </si>
  <si>
    <t>20H</t>
  </si>
  <si>
    <t>delta 30 min - pré remplissage</t>
  </si>
  <si>
    <t>delta 30 min - post remplissage</t>
  </si>
  <si>
    <t>% augmentation</t>
  </si>
  <si>
    <t>%</t>
  </si>
  <si>
    <t>GOMIS</t>
  </si>
  <si>
    <t>ELOISE</t>
  </si>
  <si>
    <t>ACIDODETOSE</t>
  </si>
  <si>
    <t>17H</t>
  </si>
  <si>
    <t>2+3</t>
  </si>
  <si>
    <t>VIEILLEDENT</t>
  </si>
  <si>
    <t>HENRI</t>
  </si>
  <si>
    <t>CHOC SEPTIQUE URO</t>
  </si>
  <si>
    <t xml:space="preserve">FERREIRA MARTINS </t>
  </si>
  <si>
    <t>DIAMANTINO DE JESUS</t>
  </si>
  <si>
    <t>CLUZEAU</t>
  </si>
  <si>
    <t>ALAIN</t>
  </si>
  <si>
    <t xml:space="preserve">POINS </t>
  </si>
  <si>
    <t>MICHEL</t>
  </si>
  <si>
    <t>SEPSIS</t>
  </si>
  <si>
    <t>CHOC SEPTIQUE DRA</t>
  </si>
  <si>
    <t>43H</t>
  </si>
  <si>
    <t>RONTARD</t>
  </si>
  <si>
    <t>THOMAS</t>
  </si>
  <si>
    <t>JEANNINE</t>
  </si>
  <si>
    <t>IMV COMA</t>
  </si>
  <si>
    <t xml:space="preserve">SANCHO </t>
  </si>
  <si>
    <t>CELINE</t>
  </si>
  <si>
    <t>SEPSIS DRA</t>
  </si>
  <si>
    <t>3H</t>
  </si>
  <si>
    <t>COHEN</t>
  </si>
  <si>
    <t>MOISE</t>
  </si>
  <si>
    <t>SEPSIS PANCREATITE</t>
  </si>
  <si>
    <t xml:space="preserve"> </t>
  </si>
  <si>
    <t>TENARD</t>
  </si>
  <si>
    <t>JOHANN</t>
  </si>
  <si>
    <t>22H</t>
  </si>
  <si>
    <t>BELLOUARD</t>
  </si>
  <si>
    <t>DOMINIQUE</t>
  </si>
  <si>
    <t>MAGA</t>
  </si>
  <si>
    <t>RICHARD</t>
  </si>
  <si>
    <t>PERRIN</t>
  </si>
  <si>
    <t>FLORENCE</t>
  </si>
  <si>
    <t xml:space="preserve">ileite + colite avec distension digestive </t>
  </si>
  <si>
    <t>sepsis pancreas</t>
  </si>
  <si>
    <t>occlusion dig avec ileus fonctionnel</t>
  </si>
  <si>
    <t>SCA stenose intrastent + PAVM</t>
  </si>
  <si>
    <t xml:space="preserve">K sein multi meta + carcinose peritonéale </t>
  </si>
  <si>
    <t>cirrhose ascite +++ abdomen distendu +++</t>
  </si>
  <si>
    <t>acr hypoxique fausse route, VIH, def multi  non cardio</t>
  </si>
  <si>
    <t>colite clostri</t>
  </si>
  <si>
    <t>17h</t>
  </si>
  <si>
    <t>choc septique pancreas</t>
  </si>
  <si>
    <t>13h</t>
  </si>
  <si>
    <t>42h</t>
  </si>
  <si>
    <t>AUC</t>
  </si>
  <si>
    <t>ND</t>
  </si>
  <si>
    <t>AUC -baseline</t>
  </si>
  <si>
    <t>AUC - basellin</t>
  </si>
  <si>
    <t xml:space="preserve">        </t>
  </si>
  <si>
    <t>difference lever jambes et remplissage</t>
  </si>
  <si>
    <t>delta débit cardiaque PLR</t>
  </si>
  <si>
    <t>% delta debit PLR</t>
  </si>
  <si>
    <t>delta debit fluid</t>
  </si>
  <si>
    <t>% delta debit fluid</t>
  </si>
  <si>
    <t>mediane</t>
  </si>
  <si>
    <t>Q1</t>
  </si>
  <si>
    <t>Q3</t>
  </si>
  <si>
    <t>n</t>
  </si>
  <si>
    <t>n total</t>
  </si>
  <si>
    <t>ntot</t>
  </si>
  <si>
    <t>med</t>
  </si>
  <si>
    <t>sepsis (1=neuro 2=respi 3=vasculaire 4=uro 5=dig 6=peau 7=autre</t>
  </si>
  <si>
    <t>IGSII</t>
  </si>
  <si>
    <t>SAPS II</t>
  </si>
  <si>
    <t>CodePatient</t>
  </si>
  <si>
    <t>AE05</t>
  </si>
  <si>
    <t>AD03</t>
  </si>
  <si>
    <t>AE07</t>
  </si>
  <si>
    <t>PP02</t>
  </si>
  <si>
    <t>ZZ09</t>
  </si>
  <si>
    <t>WX33</t>
  </si>
  <si>
    <t>UI44</t>
  </si>
  <si>
    <t>CV88</t>
  </si>
  <si>
    <t>TT12</t>
  </si>
  <si>
    <t>GN39</t>
  </si>
  <si>
    <t>UI03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</si>
</sst>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AF2197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F219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5" fillId="0" borderId="0" xfId="0" applyFont="1"/>
    <xf numFmtId="9" fontId="0" fillId="0" borderId="0" xfId="1" applyFont="1"/>
    <xf numFmtId="0" fontId="0" fillId="8" borderId="0" xfId="0" applyFill="1"/>
    <xf numFmtId="14" fontId="0" fillId="8" borderId="0" xfId="0" applyNumberFormat="1" applyFill="1"/>
    <xf numFmtId="9" fontId="0" fillId="8" borderId="0" xfId="1" applyFont="1" applyFill="1"/>
    <xf numFmtId="9" fontId="0" fillId="0" borderId="0" xfId="1" applyFont="1" applyFill="1"/>
    <xf numFmtId="0" fontId="0" fillId="9" borderId="0" xfId="0" applyFill="1"/>
    <xf numFmtId="14" fontId="0" fillId="9" borderId="0" xfId="0" applyNumberFormat="1" applyFill="1"/>
    <xf numFmtId="9" fontId="0" fillId="9" borderId="0" xfId="1" applyFont="1" applyFill="1"/>
    <xf numFmtId="14" fontId="2" fillId="0" borderId="0" xfId="0" applyNumberFormat="1" applyFont="1"/>
    <xf numFmtId="9" fontId="2" fillId="0" borderId="0" xfId="1" applyFont="1"/>
    <xf numFmtId="0" fontId="0" fillId="0" borderId="0" xfId="1" applyNumberFormat="1" applyFont="1"/>
    <xf numFmtId="0" fontId="0" fillId="9" borderId="0" xfId="1" applyNumberFormat="1" applyFont="1" applyFill="1"/>
    <xf numFmtId="164" fontId="0" fillId="0" borderId="0" xfId="0" applyNumberFormat="1"/>
    <xf numFmtId="164" fontId="0" fillId="10" borderId="0" xfId="0" applyNumberFormat="1" applyFill="1"/>
    <xf numFmtId="0" fontId="2" fillId="0" borderId="0" xfId="0" applyNumberFormat="1" applyFont="1"/>
    <xf numFmtId="0" fontId="0" fillId="0" borderId="0" xfId="0" applyNumberFormat="1"/>
    <xf numFmtId="0" fontId="0" fillId="9" borderId="0" xfId="0" applyNumberFormat="1" applyFill="1"/>
    <xf numFmtId="0" fontId="0" fillId="11" borderId="0" xfId="0" applyFill="1"/>
    <xf numFmtId="14" fontId="0" fillId="11" borderId="0" xfId="0" applyNumberFormat="1" applyFill="1"/>
    <xf numFmtId="0" fontId="0" fillId="11" borderId="0" xfId="0" applyNumberFormat="1" applyFill="1"/>
    <xf numFmtId="9" fontId="0" fillId="11" borderId="0" xfId="1" applyFont="1" applyFill="1"/>
    <xf numFmtId="0" fontId="0" fillId="11" borderId="0" xfId="1" applyNumberFormat="1" applyFont="1" applyFill="1"/>
    <xf numFmtId="164" fontId="0" fillId="11" borderId="0" xfId="0" applyNumberFormat="1" applyFill="1"/>
    <xf numFmtId="0" fontId="14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4" fillId="5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AF21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111"/>
  <sheetViews>
    <sheetView zoomScale="60" zoomScaleNormal="60" workbookViewId="0">
      <pane xSplit="6030" ySplit="720" topLeftCell="A7" activePane="bottomLeft"/>
      <selection activeCell="K1" sqref="K1:K1048576"/>
      <selection pane="topRight" activeCell="BA1" sqref="BA1:BA1048576"/>
      <selection pane="bottomLeft" activeCell="A58" sqref="A58:B62"/>
      <selection pane="bottomRight" activeCell="IH112" sqref="IH112"/>
    </sheetView>
  </sheetViews>
  <sheetFormatPr baseColWidth="10" defaultRowHeight="14.5" x14ac:dyDescent="0.35"/>
  <cols>
    <col min="1" max="1" width="19.453125" bestFit="1" customWidth="1"/>
    <col min="2" max="2" width="8.453125" bestFit="1" customWidth="1"/>
    <col min="3" max="3" width="17.81640625" bestFit="1" customWidth="1"/>
    <col min="4" max="4" width="4.26953125" bestFit="1" customWidth="1"/>
    <col min="5" max="5" width="6" bestFit="1" customWidth="1"/>
    <col min="6" max="6" width="6.453125" bestFit="1" customWidth="1"/>
    <col min="7" max="7" width="6.453125" customWidth="1"/>
    <col min="8" max="8" width="6" bestFit="1" customWidth="1"/>
    <col min="9" max="9" width="7.26953125" bestFit="1" customWidth="1"/>
    <col min="10" max="10" width="7.81640625" bestFit="1" customWidth="1"/>
    <col min="11" max="11" width="45.7265625" bestFit="1" customWidth="1"/>
    <col min="12" max="12" width="9.26953125" bestFit="1" customWidth="1"/>
    <col min="13" max="13" width="8" bestFit="1" customWidth="1"/>
    <col min="14" max="14" width="8.81640625" bestFit="1" customWidth="1"/>
    <col min="15" max="15" width="15.81640625" bestFit="1" customWidth="1"/>
    <col min="16" max="16" width="15.54296875" bestFit="1" customWidth="1"/>
    <col min="17" max="17" width="19.1796875" bestFit="1" customWidth="1"/>
    <col min="18" max="18" width="4.26953125" bestFit="1" customWidth="1"/>
    <col min="19" max="19" width="30.81640625" bestFit="1" customWidth="1"/>
    <col min="20" max="20" width="6.7265625" bestFit="1" customWidth="1"/>
    <col min="21" max="21" width="16.7265625" bestFit="1" customWidth="1"/>
    <col min="22" max="22" width="5.7265625" bestFit="1" customWidth="1"/>
    <col min="23" max="23" width="9.26953125" bestFit="1" customWidth="1"/>
    <col min="24" max="24" width="14.1796875" bestFit="1" customWidth="1"/>
    <col min="25" max="25" width="19.26953125" bestFit="1" customWidth="1"/>
    <col min="26" max="26" width="12.1796875" bestFit="1" customWidth="1"/>
    <col min="27" max="27" width="24.26953125" bestFit="1" customWidth="1"/>
    <col min="28" max="28" width="44.7265625" bestFit="1" customWidth="1"/>
    <col min="29" max="29" width="32" bestFit="1" customWidth="1"/>
    <col min="30" max="30" width="3.81640625" bestFit="1" customWidth="1"/>
    <col min="31" max="31" width="13.26953125" bestFit="1" customWidth="1"/>
    <col min="32" max="32" width="5.26953125" bestFit="1" customWidth="1"/>
    <col min="33" max="33" width="24.26953125" bestFit="1" customWidth="1"/>
    <col min="34" max="34" width="25.26953125" bestFit="1" customWidth="1"/>
    <col min="35" max="35" width="24.7265625" bestFit="1" customWidth="1"/>
    <col min="36" max="36" width="24.26953125" bestFit="1" customWidth="1"/>
    <col min="37" max="37" width="15.26953125" bestFit="1" customWidth="1"/>
    <col min="38" max="38" width="47.81640625" bestFit="1" customWidth="1"/>
    <col min="39" max="39" width="86.54296875" bestFit="1" customWidth="1"/>
    <col min="40" max="40" width="26.453125" bestFit="1" customWidth="1"/>
    <col min="41" max="41" width="14.26953125" bestFit="1" customWidth="1"/>
    <col min="42" max="42" width="20.26953125" bestFit="1" customWidth="1"/>
    <col min="43" max="43" width="21.26953125" bestFit="1" customWidth="1"/>
    <col min="44" max="44" width="20.54296875" bestFit="1" customWidth="1"/>
    <col min="45" max="45" width="6" bestFit="1" customWidth="1"/>
    <col min="46" max="46" width="15.26953125" bestFit="1" customWidth="1"/>
    <col min="47" max="47" width="24.1796875" bestFit="1" customWidth="1"/>
    <col min="48" max="48" width="21.54296875" bestFit="1" customWidth="1"/>
    <col min="49" max="49" width="11.7265625" bestFit="1" customWidth="1"/>
    <col min="50" max="50" width="9.7265625" bestFit="1" customWidth="1"/>
    <col min="51" max="51" width="9.453125" bestFit="1" customWidth="1"/>
    <col min="52" max="52" width="18.54296875" bestFit="1" customWidth="1"/>
    <col min="53" max="53" width="18.54296875" customWidth="1"/>
    <col min="54" max="54" width="21.7265625" bestFit="1" customWidth="1"/>
    <col min="55" max="55" width="13.7265625" bestFit="1" customWidth="1"/>
    <col min="56" max="56" width="14.26953125" bestFit="1" customWidth="1"/>
    <col min="57" max="57" width="9.1796875" bestFit="1" customWidth="1"/>
    <col min="58" max="58" width="5.453125" bestFit="1" customWidth="1"/>
    <col min="59" max="59" width="11.1796875" bestFit="1" customWidth="1"/>
    <col min="60" max="60" width="3.81640625" bestFit="1" customWidth="1"/>
    <col min="61" max="61" width="8.1796875" bestFit="1" customWidth="1"/>
    <col min="62" max="62" width="11" bestFit="1" customWidth="1"/>
    <col min="63" max="63" width="4.7265625" bestFit="1" customWidth="1"/>
    <col min="64" max="64" width="4.54296875" bestFit="1" customWidth="1"/>
    <col min="65" max="65" width="10.453125" bestFit="1" customWidth="1"/>
    <col min="66" max="66" width="5" bestFit="1" customWidth="1"/>
    <col min="67" max="67" width="5.81640625" bestFit="1" customWidth="1"/>
    <col min="68" max="68" width="6.54296875" bestFit="1" customWidth="1"/>
    <col min="69" max="69" width="14.26953125" bestFit="1" customWidth="1"/>
    <col min="70" max="70" width="8.7265625" bestFit="1" customWidth="1"/>
    <col min="71" max="71" width="4" bestFit="1" customWidth="1"/>
    <col min="72" max="72" width="5" bestFit="1" customWidth="1"/>
    <col min="73" max="74" width="5.54296875" bestFit="1" customWidth="1"/>
    <col min="75" max="75" width="5" bestFit="1" customWidth="1"/>
    <col min="76" max="76" width="6" bestFit="1" customWidth="1"/>
    <col min="77" max="77" width="12.26953125" bestFit="1" customWidth="1"/>
    <col min="78" max="78" width="21.26953125" bestFit="1" customWidth="1"/>
    <col min="79" max="79" width="12.81640625" bestFit="1" customWidth="1"/>
    <col min="80" max="80" width="12.7265625" bestFit="1" customWidth="1"/>
    <col min="81" max="81" width="12.1796875" bestFit="1" customWidth="1"/>
    <col min="82" max="82" width="10.26953125" bestFit="1" customWidth="1"/>
    <col min="83" max="83" width="11.7265625" bestFit="1" customWidth="1"/>
    <col min="84" max="84" width="9.7265625" bestFit="1" customWidth="1"/>
    <col min="85" max="85" width="9.26953125" bestFit="1" customWidth="1"/>
    <col min="86" max="86" width="10.453125" bestFit="1" customWidth="1"/>
    <col min="87" max="87" width="21.7265625" bestFit="1" customWidth="1"/>
    <col min="88" max="88" width="23.7265625" bestFit="1" customWidth="1"/>
    <col min="89" max="89" width="21.54296875" bestFit="1" customWidth="1"/>
    <col min="90" max="90" width="19" bestFit="1" customWidth="1"/>
    <col min="91" max="91" width="15.26953125" bestFit="1" customWidth="1"/>
    <col min="92" max="92" width="16.26953125" bestFit="1" customWidth="1"/>
    <col min="93" max="100" width="5" customWidth="1"/>
    <col min="101" max="101" width="16.26953125" customWidth="1"/>
    <col min="102" max="102" width="24.453125" customWidth="1"/>
    <col min="103" max="103" width="18.453125" bestFit="1" customWidth="1"/>
    <col min="104" max="104" width="13.26953125" customWidth="1"/>
    <col min="105" max="105" width="13" customWidth="1"/>
    <col min="106" max="106" width="15" customWidth="1"/>
    <col min="107" max="107" width="15.1796875" customWidth="1"/>
    <col min="108" max="109" width="14.1796875" customWidth="1"/>
    <col min="110" max="110" width="74.453125" bestFit="1" customWidth="1"/>
    <col min="111" max="111" width="37.453125" bestFit="1" customWidth="1"/>
    <col min="112" max="112" width="11.26953125" bestFit="1" customWidth="1"/>
    <col min="113" max="113" width="29.7265625" bestFit="1" customWidth="1"/>
    <col min="114" max="114" width="29.7265625" customWidth="1"/>
    <col min="115" max="115" width="26.1796875" bestFit="1" customWidth="1"/>
    <col min="116" max="116" width="15.453125" bestFit="1" customWidth="1"/>
    <col min="117" max="117" width="15.453125" customWidth="1"/>
    <col min="118" max="118" width="12.7265625" bestFit="1" customWidth="1"/>
    <col min="119" max="119" width="11.7265625" bestFit="1" customWidth="1"/>
    <col min="120" max="120" width="9.81640625" bestFit="1" customWidth="1"/>
    <col min="121" max="121" width="11.7265625" bestFit="1" customWidth="1"/>
    <col min="122" max="122" width="11.453125" bestFit="1" customWidth="1"/>
    <col min="123" max="123" width="8.7265625" bestFit="1" customWidth="1"/>
    <col min="124" max="124" width="6.453125" bestFit="1" customWidth="1"/>
    <col min="125" max="125" width="6.7265625" bestFit="1" customWidth="1"/>
    <col min="126" max="126" width="7.26953125" bestFit="1" customWidth="1"/>
    <col min="127" max="127" width="5.453125" bestFit="1" customWidth="1"/>
    <col min="128" max="128" width="15.7265625" bestFit="1" customWidth="1"/>
    <col min="129" max="129" width="25.26953125" bestFit="1" customWidth="1"/>
    <col min="130" max="130" width="7.1796875" bestFit="1" customWidth="1"/>
    <col min="131" max="131" width="6.7265625" bestFit="1" customWidth="1"/>
    <col min="132" max="132" width="6.453125" bestFit="1" customWidth="1"/>
    <col min="133" max="133" width="7.26953125" bestFit="1" customWidth="1"/>
    <col min="134" max="134" width="11.1796875" bestFit="1" customWidth="1"/>
    <col min="135" max="135" width="18.7265625" bestFit="1" customWidth="1"/>
    <col min="136" max="136" width="15.7265625" bestFit="1" customWidth="1"/>
    <col min="137" max="137" width="19.7265625" bestFit="1" customWidth="1"/>
    <col min="138" max="138" width="18.7265625" bestFit="1" customWidth="1"/>
    <col min="139" max="139" width="26.1796875" bestFit="1" customWidth="1"/>
    <col min="140" max="140" width="20.7265625" bestFit="1" customWidth="1"/>
    <col min="141" max="141" width="6.26953125" bestFit="1" customWidth="1"/>
    <col min="142" max="142" width="6.7265625" bestFit="1" customWidth="1"/>
    <col min="143" max="143" width="6.54296875" bestFit="1" customWidth="1"/>
    <col min="144" max="144" width="4.26953125" bestFit="1" customWidth="1"/>
    <col min="145" max="145" width="16.7265625" bestFit="1" customWidth="1"/>
    <col min="146" max="146" width="13.81640625" bestFit="1" customWidth="1"/>
    <col min="147" max="147" width="12.26953125" bestFit="1" customWidth="1"/>
    <col min="148" max="148" width="21.7265625" bestFit="1" customWidth="1"/>
    <col min="149" max="149" width="26" bestFit="1" customWidth="1"/>
    <col min="150" max="151" width="19.7265625" bestFit="1" customWidth="1"/>
    <col min="152" max="152" width="17.26953125" bestFit="1" customWidth="1"/>
    <col min="153" max="153" width="25.7265625" bestFit="1" customWidth="1"/>
    <col min="154" max="154" width="27.81640625" bestFit="1" customWidth="1"/>
    <col min="155" max="155" width="21.26953125" bestFit="1" customWidth="1"/>
    <col min="156" max="156" width="12.26953125" customWidth="1"/>
    <col min="157" max="157" width="27" bestFit="1" customWidth="1"/>
    <col min="158" max="158" width="17" bestFit="1" customWidth="1"/>
    <col min="159" max="159" width="16.81640625" bestFit="1" customWidth="1"/>
    <col min="160" max="160" width="23.1796875" bestFit="1" customWidth="1"/>
    <col min="161" max="161" width="4" bestFit="1" customWidth="1"/>
    <col min="162" max="162" width="16.26953125" bestFit="1" customWidth="1"/>
    <col min="163" max="163" width="4.1796875" bestFit="1" customWidth="1"/>
    <col min="164" max="164" width="11.453125" bestFit="1" customWidth="1"/>
    <col min="165" max="165" width="9.7265625" bestFit="1" customWidth="1"/>
    <col min="166" max="166" width="19.1796875" bestFit="1" customWidth="1"/>
    <col min="167" max="167" width="23.54296875" bestFit="1" customWidth="1"/>
    <col min="168" max="168" width="17.26953125" bestFit="1" customWidth="1"/>
    <col min="169" max="169" width="17.453125" bestFit="1" customWidth="1"/>
    <col min="170" max="170" width="16.7265625" bestFit="1" customWidth="1"/>
    <col min="171" max="171" width="16.54296875" bestFit="1" customWidth="1"/>
    <col min="172" max="172" width="17" bestFit="1" customWidth="1"/>
    <col min="173" max="173" width="15.1796875" bestFit="1" customWidth="1"/>
    <col min="174" max="174" width="28.7265625" bestFit="1" customWidth="1"/>
    <col min="175" max="175" width="16.26953125" bestFit="1" customWidth="1"/>
    <col min="176" max="176" width="11.453125" bestFit="1" customWidth="1"/>
    <col min="177" max="177" width="22.1796875" bestFit="1" customWidth="1"/>
    <col min="178" max="178" width="31.54296875" bestFit="1" customWidth="1"/>
    <col min="179" max="179" width="23.54296875" bestFit="1" customWidth="1"/>
    <col min="180" max="180" width="17.26953125" bestFit="1" customWidth="1"/>
    <col min="181" max="185" width="17.26953125" customWidth="1"/>
    <col min="186" max="186" width="17.453125" bestFit="1" customWidth="1"/>
    <col min="187" max="187" width="21" bestFit="1" customWidth="1"/>
    <col min="188" max="188" width="20.81640625" bestFit="1" customWidth="1"/>
    <col min="189" max="189" width="21.453125" bestFit="1" customWidth="1"/>
    <col min="190" max="190" width="19.54296875" bestFit="1" customWidth="1"/>
    <col min="191" max="191" width="33.1796875" bestFit="1" customWidth="1"/>
    <col min="192" max="192" width="20.7265625" bestFit="1" customWidth="1"/>
    <col min="193" max="195" width="20.7265625" customWidth="1"/>
    <col min="196" max="196" width="11.453125" bestFit="1" customWidth="1"/>
    <col min="197" max="197" width="26.54296875" bestFit="1" customWidth="1"/>
    <col min="198" max="198" width="35.81640625" bestFit="1" customWidth="1"/>
    <col min="199" max="199" width="40.26953125" bestFit="1" customWidth="1"/>
    <col min="200" max="200" width="34" bestFit="1" customWidth="1"/>
    <col min="201" max="201" width="34.26953125" bestFit="1" customWidth="1"/>
    <col min="220" max="220" width="22.453125" bestFit="1" customWidth="1"/>
    <col min="221" max="221" width="20.1796875" bestFit="1" customWidth="1"/>
    <col min="222" max="222" width="27.453125" bestFit="1" customWidth="1"/>
    <col min="223" max="223" width="25.1796875" bestFit="1" customWidth="1"/>
    <col min="224" max="224" width="46" bestFit="1" customWidth="1"/>
    <col min="225" max="225" width="27.26953125" bestFit="1" customWidth="1"/>
    <col min="226" max="226" width="27.26953125" customWidth="1"/>
    <col min="227" max="227" width="37.453125" bestFit="1" customWidth="1"/>
    <col min="228" max="228" width="31.453125" bestFit="1" customWidth="1"/>
    <col min="229" max="229" width="22" bestFit="1" customWidth="1"/>
    <col min="230" max="230" width="19.26953125" bestFit="1" customWidth="1"/>
    <col min="231" max="231" width="22.1796875" bestFit="1" customWidth="1"/>
  </cols>
  <sheetData>
    <row r="1" spans="1:255" x14ac:dyDescent="0.35">
      <c r="DL1" s="41" t="s">
        <v>257</v>
      </c>
      <c r="DM1" s="41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2"/>
      <c r="EV1" s="43" t="s">
        <v>258</v>
      </c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5" t="s">
        <v>259</v>
      </c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7" t="s">
        <v>260</v>
      </c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8" t="s">
        <v>265</v>
      </c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39" t="s">
        <v>266</v>
      </c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</row>
    <row r="2" spans="1:255" s="4" customFormat="1" x14ac:dyDescent="0.35">
      <c r="A2" s="4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/>
      <c r="H2" s="5" t="s">
        <v>6</v>
      </c>
      <c r="I2" s="5" t="s">
        <v>7</v>
      </c>
      <c r="J2" s="5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7" t="s">
        <v>35</v>
      </c>
      <c r="AL2" s="7" t="s">
        <v>36</v>
      </c>
      <c r="AM2" s="7" t="s">
        <v>403</v>
      </c>
      <c r="AN2" s="7" t="s">
        <v>37</v>
      </c>
      <c r="AO2" s="7" t="s">
        <v>38</v>
      </c>
      <c r="AP2" s="7" t="s">
        <v>39</v>
      </c>
      <c r="AQ2" s="7" t="s">
        <v>40</v>
      </c>
      <c r="AR2" s="7" t="s">
        <v>41</v>
      </c>
      <c r="AS2" s="7" t="s">
        <v>42</v>
      </c>
      <c r="AT2" s="7" t="s">
        <v>43</v>
      </c>
      <c r="AU2" s="7" t="s">
        <v>44</v>
      </c>
      <c r="AV2" s="7" t="s">
        <v>45</v>
      </c>
      <c r="AW2" s="7" t="s">
        <v>46</v>
      </c>
      <c r="AX2" s="7" t="s">
        <v>47</v>
      </c>
      <c r="AY2" s="7" t="s">
        <v>48</v>
      </c>
      <c r="AZ2" s="7" t="s">
        <v>49</v>
      </c>
      <c r="BA2" s="7" t="s">
        <v>405</v>
      </c>
      <c r="BB2" s="6" t="s">
        <v>50</v>
      </c>
      <c r="BC2" s="6" t="s">
        <v>70</v>
      </c>
      <c r="BD2" s="6" t="s">
        <v>51</v>
      </c>
      <c r="BE2" s="6" t="s">
        <v>71</v>
      </c>
      <c r="BF2" s="6" t="s">
        <v>72</v>
      </c>
      <c r="BG2" s="6" t="s">
        <v>73</v>
      </c>
      <c r="BH2" s="6" t="s">
        <v>74</v>
      </c>
      <c r="BI2" s="6" t="s">
        <v>75</v>
      </c>
      <c r="BJ2" s="6" t="s">
        <v>76</v>
      </c>
      <c r="BK2" s="6" t="s">
        <v>77</v>
      </c>
      <c r="BL2" s="6" t="s">
        <v>78</v>
      </c>
      <c r="BM2" s="6" t="s">
        <v>79</v>
      </c>
      <c r="BN2" s="6" t="s">
        <v>80</v>
      </c>
      <c r="BO2" s="6" t="s">
        <v>81</v>
      </c>
      <c r="BP2" s="6" t="s">
        <v>82</v>
      </c>
      <c r="BQ2" s="6" t="s">
        <v>83</v>
      </c>
      <c r="BR2" s="6" t="s">
        <v>84</v>
      </c>
      <c r="BS2" s="6" t="s">
        <v>85</v>
      </c>
      <c r="BT2" s="6" t="s">
        <v>86</v>
      </c>
      <c r="BU2" s="6" t="s">
        <v>87</v>
      </c>
      <c r="BV2" s="6" t="s">
        <v>88</v>
      </c>
      <c r="BW2" s="6" t="s">
        <v>89</v>
      </c>
      <c r="BX2" s="6" t="s">
        <v>90</v>
      </c>
      <c r="BY2" s="14" t="s">
        <v>147</v>
      </c>
      <c r="BZ2" s="14" t="s">
        <v>148</v>
      </c>
      <c r="CA2" s="14" t="s">
        <v>149</v>
      </c>
      <c r="CB2" s="14" t="s">
        <v>150</v>
      </c>
      <c r="CC2" s="14" t="s">
        <v>44</v>
      </c>
      <c r="CD2" s="14" t="s">
        <v>45</v>
      </c>
      <c r="CE2" s="14" t="s">
        <v>46</v>
      </c>
      <c r="CF2" s="14" t="s">
        <v>47</v>
      </c>
      <c r="CG2" s="14" t="s">
        <v>48</v>
      </c>
      <c r="CH2" s="14" t="s">
        <v>69</v>
      </c>
      <c r="CI2" s="14" t="s">
        <v>145</v>
      </c>
      <c r="CJ2" s="14" t="s">
        <v>151</v>
      </c>
      <c r="CK2" s="14" t="s">
        <v>152</v>
      </c>
      <c r="CL2" s="14" t="s">
        <v>153</v>
      </c>
      <c r="CM2" s="14" t="s">
        <v>154</v>
      </c>
      <c r="CN2" s="14" t="s">
        <v>155</v>
      </c>
      <c r="CO2" s="14" t="s">
        <v>156</v>
      </c>
      <c r="CP2" s="14" t="s">
        <v>157</v>
      </c>
      <c r="CQ2" s="14" t="s">
        <v>158</v>
      </c>
      <c r="CR2" s="14" t="s">
        <v>159</v>
      </c>
      <c r="CS2" s="14" t="s">
        <v>160</v>
      </c>
      <c r="CT2" s="14" t="s">
        <v>161</v>
      </c>
      <c r="CU2" s="14" t="s">
        <v>162</v>
      </c>
      <c r="CV2" s="14" t="s">
        <v>163</v>
      </c>
      <c r="CW2" s="14" t="s">
        <v>164</v>
      </c>
      <c r="CX2" s="14" t="s">
        <v>165</v>
      </c>
      <c r="CY2" s="14" t="s">
        <v>174</v>
      </c>
      <c r="CZ2" s="14" t="s">
        <v>166</v>
      </c>
      <c r="DA2" s="14" t="s">
        <v>167</v>
      </c>
      <c r="DB2" s="14" t="s">
        <v>168</v>
      </c>
      <c r="DC2" s="14" t="s">
        <v>169</v>
      </c>
      <c r="DD2" s="14" t="s">
        <v>170</v>
      </c>
      <c r="DE2" s="14" t="s">
        <v>171</v>
      </c>
      <c r="DF2" s="14" t="s">
        <v>175</v>
      </c>
      <c r="DG2" s="8" t="s">
        <v>92</v>
      </c>
      <c r="DH2" s="8" t="s">
        <v>91</v>
      </c>
      <c r="DI2" s="9" t="s">
        <v>255</v>
      </c>
      <c r="DJ2" s="9"/>
      <c r="DK2" s="9" t="s">
        <v>256</v>
      </c>
      <c r="DL2" s="10" t="s">
        <v>52</v>
      </c>
      <c r="DM2" s="10"/>
      <c r="DN2" s="10" t="s">
        <v>53</v>
      </c>
      <c r="DO2" s="10" t="s">
        <v>54</v>
      </c>
      <c r="DP2" s="10" t="s">
        <v>55</v>
      </c>
      <c r="DQ2" s="10" t="s">
        <v>56</v>
      </c>
      <c r="DR2" s="10" t="s">
        <v>57</v>
      </c>
      <c r="DS2" s="10" t="s">
        <v>58</v>
      </c>
      <c r="DT2" s="10" t="s">
        <v>93</v>
      </c>
      <c r="DU2" s="10" t="s">
        <v>94</v>
      </c>
      <c r="DV2" s="10" t="s">
        <v>95</v>
      </c>
      <c r="DW2" s="10" t="s">
        <v>96</v>
      </c>
      <c r="DX2" s="10" t="s">
        <v>97</v>
      </c>
      <c r="DY2" s="10" t="s">
        <v>98</v>
      </c>
      <c r="DZ2" s="10" t="s">
        <v>99</v>
      </c>
      <c r="EA2" s="10" t="s">
        <v>100</v>
      </c>
      <c r="EB2" s="10" t="s">
        <v>101</v>
      </c>
      <c r="EC2" s="10" t="s">
        <v>102</v>
      </c>
      <c r="ED2" s="10" t="s">
        <v>103</v>
      </c>
      <c r="EE2" s="10" t="s">
        <v>104</v>
      </c>
      <c r="EF2" s="10" t="s">
        <v>105</v>
      </c>
      <c r="EG2" s="10" t="s">
        <v>106</v>
      </c>
      <c r="EH2" s="10" t="s">
        <v>107</v>
      </c>
      <c r="EI2" s="10" t="s">
        <v>108</v>
      </c>
      <c r="EJ2" s="10" t="s">
        <v>109</v>
      </c>
      <c r="EK2" s="10" t="s">
        <v>110</v>
      </c>
      <c r="EL2" s="10" t="s">
        <v>111</v>
      </c>
      <c r="EM2" s="10" t="s">
        <v>112</v>
      </c>
      <c r="EN2" s="10" t="s">
        <v>118</v>
      </c>
      <c r="EO2" s="10" t="s">
        <v>119</v>
      </c>
      <c r="EP2" s="10" t="s">
        <v>113</v>
      </c>
      <c r="EQ2" s="10" t="s">
        <v>114</v>
      </c>
      <c r="ER2" s="10" t="s">
        <v>115</v>
      </c>
      <c r="ES2" s="10" t="s">
        <v>116</v>
      </c>
      <c r="ET2" s="10" t="s">
        <v>117</v>
      </c>
      <c r="EU2" s="10" t="s">
        <v>120</v>
      </c>
      <c r="EV2" s="5" t="s">
        <v>122</v>
      </c>
      <c r="EW2" s="5" t="s">
        <v>121</v>
      </c>
      <c r="EX2" s="5" t="s">
        <v>59</v>
      </c>
      <c r="EY2" s="5" t="s">
        <v>60</v>
      </c>
      <c r="EZ2" s="5" t="s">
        <v>61</v>
      </c>
      <c r="FA2" s="5" t="s">
        <v>62</v>
      </c>
      <c r="FB2" s="5" t="s">
        <v>63</v>
      </c>
      <c r="FC2" s="5" t="s">
        <v>64</v>
      </c>
      <c r="FD2" s="5" t="s">
        <v>65</v>
      </c>
      <c r="FE2" s="5" t="s">
        <v>66</v>
      </c>
      <c r="FF2" s="5" t="s">
        <v>67</v>
      </c>
      <c r="FG2" s="5" t="s">
        <v>68</v>
      </c>
      <c r="FH2" s="13" t="s">
        <v>123</v>
      </c>
      <c r="FI2" s="13" t="s">
        <v>124</v>
      </c>
      <c r="FJ2" s="13" t="s">
        <v>125</v>
      </c>
      <c r="FK2" s="13" t="s">
        <v>126</v>
      </c>
      <c r="FL2" s="13" t="s">
        <v>127</v>
      </c>
      <c r="FM2" s="13" t="s">
        <v>128</v>
      </c>
      <c r="FN2" s="13" t="s">
        <v>63</v>
      </c>
      <c r="FO2" s="13" t="s">
        <v>129</v>
      </c>
      <c r="FP2" s="13" t="s">
        <v>130</v>
      </c>
      <c r="FQ2" s="13" t="s">
        <v>66</v>
      </c>
      <c r="FR2" s="13" t="s">
        <v>67</v>
      </c>
      <c r="FS2" s="13" t="s">
        <v>68</v>
      </c>
      <c r="FT2" s="12" t="s">
        <v>131</v>
      </c>
      <c r="FU2" s="12" t="s">
        <v>132</v>
      </c>
      <c r="FV2" s="12" t="s">
        <v>133</v>
      </c>
      <c r="FW2" s="12" t="s">
        <v>134</v>
      </c>
      <c r="FX2" s="12" t="s">
        <v>135</v>
      </c>
      <c r="FY2" s="12" t="s">
        <v>30</v>
      </c>
      <c r="FZ2" s="12" t="s">
        <v>261</v>
      </c>
      <c r="GA2" s="12" t="s">
        <v>262</v>
      </c>
      <c r="GB2" s="12" t="s">
        <v>263</v>
      </c>
      <c r="GC2" s="12" t="s">
        <v>264</v>
      </c>
      <c r="GD2" s="12" t="s">
        <v>136</v>
      </c>
      <c r="GE2" s="12" t="s">
        <v>63</v>
      </c>
      <c r="GF2" s="12" t="s">
        <v>137</v>
      </c>
      <c r="GG2" s="12" t="s">
        <v>138</v>
      </c>
      <c r="GH2" s="12" t="s">
        <v>139</v>
      </c>
      <c r="GI2" s="12" t="s">
        <v>140</v>
      </c>
      <c r="GJ2" s="12" t="s">
        <v>141</v>
      </c>
      <c r="GK2" s="11" t="s">
        <v>269</v>
      </c>
      <c r="GL2" s="11" t="s">
        <v>270</v>
      </c>
      <c r="GM2" s="11" t="s">
        <v>271</v>
      </c>
      <c r="GN2" s="11" t="s">
        <v>272</v>
      </c>
      <c r="GO2" s="11" t="s">
        <v>61</v>
      </c>
      <c r="GP2" s="11" t="s">
        <v>273</v>
      </c>
      <c r="GQ2" s="11" t="s">
        <v>63</v>
      </c>
      <c r="GR2" s="11" t="s">
        <v>274</v>
      </c>
      <c r="GS2" s="11" t="s">
        <v>275</v>
      </c>
      <c r="GT2" s="11" t="s">
        <v>66</v>
      </c>
      <c r="GU2" s="11" t="s">
        <v>67</v>
      </c>
      <c r="GV2" s="11" t="s">
        <v>68</v>
      </c>
      <c r="GW2" s="15" t="s">
        <v>276</v>
      </c>
      <c r="GX2" s="15" t="s">
        <v>270</v>
      </c>
      <c r="GY2" s="15" t="s">
        <v>271</v>
      </c>
      <c r="GZ2" s="15" t="s">
        <v>60</v>
      </c>
      <c r="HA2" s="15" t="s">
        <v>61</v>
      </c>
      <c r="HB2" s="15" t="s">
        <v>273</v>
      </c>
      <c r="HC2" s="15" t="s">
        <v>63</v>
      </c>
      <c r="HD2" s="15" t="s">
        <v>64</v>
      </c>
      <c r="HE2" s="15" t="s">
        <v>130</v>
      </c>
      <c r="HF2" s="15" t="s">
        <v>66</v>
      </c>
      <c r="HG2" s="15" t="s">
        <v>67</v>
      </c>
      <c r="HH2" s="15" t="s">
        <v>68</v>
      </c>
      <c r="HI2" s="4" t="s">
        <v>278</v>
      </c>
      <c r="HJ2" s="4" t="s">
        <v>277</v>
      </c>
      <c r="HK2" s="4" t="s">
        <v>177</v>
      </c>
      <c r="HL2" s="4" t="s">
        <v>324</v>
      </c>
      <c r="HM2" s="4" t="s">
        <v>334</v>
      </c>
      <c r="HN2" s="4" t="s">
        <v>325</v>
      </c>
      <c r="HO2" s="4" t="s">
        <v>334</v>
      </c>
      <c r="HP2" s="4" t="s">
        <v>391</v>
      </c>
      <c r="HQ2" s="4" t="s">
        <v>332</v>
      </c>
      <c r="HR2" s="4" t="s">
        <v>334</v>
      </c>
      <c r="HS2" s="4" t="s">
        <v>333</v>
      </c>
      <c r="HT2" s="4" t="s">
        <v>392</v>
      </c>
      <c r="HU2" s="4" t="s">
        <v>393</v>
      </c>
      <c r="HV2" s="4" t="s">
        <v>394</v>
      </c>
      <c r="HW2" s="4" t="s">
        <v>395</v>
      </c>
    </row>
    <row r="3" spans="1:255" s="17" customFormat="1" x14ac:dyDescent="0.35">
      <c r="A3" t="s">
        <v>390</v>
      </c>
      <c r="B3" t="s">
        <v>347</v>
      </c>
      <c r="C3" s="3">
        <v>18139</v>
      </c>
      <c r="D3">
        <v>74</v>
      </c>
      <c r="E3">
        <v>60</v>
      </c>
      <c r="F3">
        <v>177</v>
      </c>
      <c r="G3">
        <f t="shared" ref="G3:G39" si="0">F3/100</f>
        <v>1.77</v>
      </c>
      <c r="H3">
        <f t="shared" ref="H3:H39" si="1">E3/(G3*G3)</f>
        <v>19.151584793641671</v>
      </c>
      <c r="I3">
        <v>0</v>
      </c>
      <c r="J3">
        <v>1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  <c r="Z3">
        <v>1</v>
      </c>
      <c r="AA3">
        <v>1</v>
      </c>
      <c r="AB3">
        <v>0</v>
      </c>
      <c r="AC3">
        <v>1</v>
      </c>
      <c r="AD3">
        <v>0</v>
      </c>
      <c r="AE3">
        <v>1</v>
      </c>
      <c r="AF3">
        <v>50</v>
      </c>
      <c r="AG3"/>
      <c r="AH3"/>
      <c r="AI3"/>
      <c r="AJ3"/>
      <c r="AK3" s="3">
        <v>45171</v>
      </c>
      <c r="AL3" t="s">
        <v>351</v>
      </c>
      <c r="AM3">
        <v>2</v>
      </c>
      <c r="AN3">
        <v>1</v>
      </c>
      <c r="AO3">
        <v>1</v>
      </c>
      <c r="AP3">
        <v>0</v>
      </c>
      <c r="AQ3">
        <v>0</v>
      </c>
      <c r="AR3">
        <v>0</v>
      </c>
      <c r="AS3"/>
      <c r="AT3">
        <v>11</v>
      </c>
      <c r="AU3">
        <v>4</v>
      </c>
      <c r="AV3">
        <v>1</v>
      </c>
      <c r="AW3">
        <v>2</v>
      </c>
      <c r="AX3">
        <v>1</v>
      </c>
      <c r="AY3">
        <v>1</v>
      </c>
      <c r="AZ3">
        <v>2</v>
      </c>
      <c r="BA3"/>
      <c r="BB3">
        <v>16.399999999999999</v>
      </c>
      <c r="BC3">
        <v>11.3</v>
      </c>
      <c r="BD3">
        <v>80</v>
      </c>
      <c r="BE3">
        <v>68</v>
      </c>
      <c r="BF3">
        <v>12</v>
      </c>
      <c r="BG3">
        <v>143</v>
      </c>
      <c r="BH3">
        <v>134</v>
      </c>
      <c r="BI3">
        <v>98</v>
      </c>
      <c r="BJ3">
        <v>21</v>
      </c>
      <c r="BK3">
        <v>386</v>
      </c>
      <c r="BL3"/>
      <c r="BM3"/>
      <c r="BN3">
        <v>7.5</v>
      </c>
      <c r="BO3">
        <v>77</v>
      </c>
      <c r="BP3">
        <v>28</v>
      </c>
      <c r="BQ3">
        <v>22</v>
      </c>
      <c r="BR3">
        <v>2.1</v>
      </c>
      <c r="BS3">
        <v>67</v>
      </c>
      <c r="BT3">
        <v>87</v>
      </c>
      <c r="BU3">
        <v>480</v>
      </c>
      <c r="BV3">
        <v>96</v>
      </c>
      <c r="BW3">
        <v>826</v>
      </c>
      <c r="BX3">
        <v>13761</v>
      </c>
      <c r="BY3" s="3">
        <v>45173</v>
      </c>
      <c r="BZ3">
        <v>43</v>
      </c>
      <c r="CA3">
        <v>60.5</v>
      </c>
      <c r="CB3">
        <v>12</v>
      </c>
      <c r="CC3">
        <v>4</v>
      </c>
      <c r="CD3">
        <v>1</v>
      </c>
      <c r="CE3">
        <v>1</v>
      </c>
      <c r="CF3">
        <v>3</v>
      </c>
      <c r="CG3">
        <v>1</v>
      </c>
      <c r="CH3">
        <v>2</v>
      </c>
      <c r="CI3">
        <v>17.399999999999999</v>
      </c>
      <c r="CJ3">
        <v>8.3000000000000007</v>
      </c>
      <c r="CK3">
        <v>56</v>
      </c>
      <c r="CL3">
        <v>56</v>
      </c>
      <c r="CM3">
        <v>21</v>
      </c>
      <c r="CN3">
        <v>312</v>
      </c>
      <c r="CO3">
        <v>127</v>
      </c>
      <c r="CP3">
        <v>98</v>
      </c>
      <c r="CQ3">
        <v>22</v>
      </c>
      <c r="CR3"/>
      <c r="CS3"/>
      <c r="CT3"/>
      <c r="CU3">
        <v>7.33</v>
      </c>
      <c r="CV3">
        <v>77</v>
      </c>
      <c r="CW3">
        <v>41</v>
      </c>
      <c r="CX3">
        <v>20</v>
      </c>
      <c r="CY3">
        <v>1.2</v>
      </c>
      <c r="CZ3">
        <v>71</v>
      </c>
      <c r="DA3"/>
      <c r="DB3">
        <v>371</v>
      </c>
      <c r="DC3">
        <v>89</v>
      </c>
      <c r="DD3">
        <v>979</v>
      </c>
      <c r="DE3">
        <v>4698</v>
      </c>
      <c r="DF3">
        <v>1</v>
      </c>
      <c r="DG3">
        <v>1</v>
      </c>
      <c r="DH3">
        <v>500</v>
      </c>
      <c r="DI3"/>
      <c r="DJ3">
        <v>0</v>
      </c>
      <c r="DK3">
        <v>0</v>
      </c>
      <c r="DL3">
        <v>0.13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112</v>
      </c>
      <c r="DU3">
        <v>61</v>
      </c>
      <c r="DV3">
        <v>78</v>
      </c>
      <c r="DW3">
        <v>96</v>
      </c>
      <c r="DX3">
        <v>37.200000000000003</v>
      </c>
      <c r="DY3">
        <v>1</v>
      </c>
      <c r="DZ3">
        <v>0</v>
      </c>
      <c r="EA3">
        <v>0</v>
      </c>
      <c r="EB3">
        <v>0</v>
      </c>
      <c r="EC3">
        <v>60</v>
      </c>
      <c r="ED3">
        <v>50</v>
      </c>
      <c r="EE3">
        <v>5.9</v>
      </c>
      <c r="EF3">
        <v>50</v>
      </c>
      <c r="EG3">
        <v>20</v>
      </c>
      <c r="EH3">
        <v>0</v>
      </c>
      <c r="EI3">
        <v>0</v>
      </c>
      <c r="EJ3">
        <v>0</v>
      </c>
      <c r="EK3">
        <v>1.1000000000000001</v>
      </c>
      <c r="EL3"/>
      <c r="EM3"/>
      <c r="EN3"/>
      <c r="EO3"/>
      <c r="EP3">
        <v>0</v>
      </c>
      <c r="EQ3">
        <v>1.1000000000000001</v>
      </c>
      <c r="ER3">
        <v>386.94</v>
      </c>
      <c r="ES3">
        <v>21.55</v>
      </c>
      <c r="ET3">
        <v>297</v>
      </c>
      <c r="EU3">
        <v>448</v>
      </c>
      <c r="EV3">
        <v>102</v>
      </c>
      <c r="EW3">
        <v>49</v>
      </c>
      <c r="EX3">
        <v>70</v>
      </c>
      <c r="EY3">
        <v>93</v>
      </c>
      <c r="EZ3"/>
      <c r="FA3"/>
      <c r="FB3">
        <v>0</v>
      </c>
      <c r="FC3">
        <v>1.6</v>
      </c>
      <c r="FD3">
        <v>252.47</v>
      </c>
      <c r="FE3"/>
      <c r="FF3"/>
      <c r="FG3"/>
      <c r="FH3">
        <v>115</v>
      </c>
      <c r="FI3">
        <v>61</v>
      </c>
      <c r="FJ3">
        <v>84</v>
      </c>
      <c r="FK3">
        <v>90</v>
      </c>
      <c r="FL3">
        <v>5.9</v>
      </c>
      <c r="FM3"/>
      <c r="FN3">
        <v>0</v>
      </c>
      <c r="FO3">
        <v>1.2</v>
      </c>
      <c r="FP3">
        <v>365.77</v>
      </c>
      <c r="FQ3"/>
      <c r="FR3"/>
      <c r="FS3"/>
      <c r="FT3">
        <v>119</v>
      </c>
      <c r="FU3">
        <v>62</v>
      </c>
      <c r="FV3">
        <v>87</v>
      </c>
      <c r="FW3">
        <v>93</v>
      </c>
      <c r="FX3"/>
      <c r="FY3"/>
      <c r="FZ3"/>
      <c r="GA3"/>
      <c r="GB3"/>
      <c r="GC3"/>
      <c r="GD3"/>
      <c r="GE3">
        <v>0</v>
      </c>
      <c r="GF3">
        <v>1.3</v>
      </c>
      <c r="GG3">
        <v>154.44999999999999</v>
      </c>
      <c r="GH3"/>
      <c r="GI3"/>
      <c r="GJ3"/>
      <c r="GK3">
        <v>122</v>
      </c>
      <c r="GL3">
        <v>61</v>
      </c>
      <c r="GM3">
        <v>87</v>
      </c>
      <c r="GN3">
        <v>91</v>
      </c>
      <c r="GO3"/>
      <c r="GP3"/>
      <c r="GQ3">
        <v>0</v>
      </c>
      <c r="GR3">
        <v>0.9</v>
      </c>
      <c r="GS3">
        <v>178.18</v>
      </c>
      <c r="GT3"/>
      <c r="GU3"/>
      <c r="GV3"/>
      <c r="GW3">
        <v>122</v>
      </c>
      <c r="GX3">
        <v>61</v>
      </c>
      <c r="GY3">
        <v>87</v>
      </c>
      <c r="GZ3">
        <v>91</v>
      </c>
      <c r="HA3"/>
      <c r="HB3"/>
      <c r="HC3">
        <v>0</v>
      </c>
      <c r="HD3">
        <v>0.9</v>
      </c>
      <c r="HE3">
        <v>178.18</v>
      </c>
      <c r="HF3"/>
      <c r="HG3"/>
      <c r="HH3"/>
      <c r="HI3"/>
      <c r="HJ3"/>
      <c r="HK3"/>
      <c r="HL3">
        <f t="shared" ref="HL3:HL39" si="2">FD3-ER3</f>
        <v>-134.47</v>
      </c>
      <c r="HM3" s="16">
        <f t="shared" ref="HM3:HM39" si="3">HL3/ER3</f>
        <v>-0.3475215795730604</v>
      </c>
      <c r="HN3">
        <f t="shared" ref="HN3:HN16" si="4">GG3-FP3</f>
        <v>-211.32</v>
      </c>
      <c r="HO3" s="16">
        <f t="shared" ref="HO3:HO16" si="5">HN3/FP3</f>
        <v>-0.57774010990513169</v>
      </c>
      <c r="HP3" s="26">
        <f t="shared" ref="HP3:HP39" si="6">HN3-HL3</f>
        <v>-76.849999999999994</v>
      </c>
      <c r="HQ3">
        <f>HE3-FP3</f>
        <v>-187.58999999999997</v>
      </c>
      <c r="HR3" s="16">
        <f>HQ3/FP3</f>
        <v>-0.51286327473548943</v>
      </c>
      <c r="HS3">
        <f>HE3-GG3</f>
        <v>23.730000000000018</v>
      </c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</row>
    <row r="4" spans="1:255" x14ac:dyDescent="0.35">
      <c r="A4" t="s">
        <v>302</v>
      </c>
      <c r="B4" t="s">
        <v>303</v>
      </c>
      <c r="C4" s="3">
        <v>24433</v>
      </c>
      <c r="D4">
        <v>56</v>
      </c>
      <c r="E4">
        <v>64</v>
      </c>
      <c r="F4">
        <v>177</v>
      </c>
      <c r="G4">
        <f t="shared" si="0"/>
        <v>1.77</v>
      </c>
      <c r="H4">
        <f t="shared" si="1"/>
        <v>20.428357113217785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 t="s">
        <v>144</v>
      </c>
      <c r="AK4" s="3">
        <v>45122</v>
      </c>
      <c r="AL4" t="s">
        <v>304</v>
      </c>
      <c r="AM4">
        <v>2</v>
      </c>
      <c r="AN4">
        <v>1</v>
      </c>
      <c r="AO4">
        <v>1</v>
      </c>
      <c r="AP4">
        <v>0</v>
      </c>
      <c r="AQ4">
        <v>0</v>
      </c>
      <c r="AR4">
        <v>0</v>
      </c>
      <c r="AT4">
        <v>14</v>
      </c>
      <c r="AU4">
        <v>4</v>
      </c>
      <c r="AV4">
        <v>3</v>
      </c>
      <c r="AW4">
        <v>3</v>
      </c>
      <c r="AX4">
        <v>2</v>
      </c>
      <c r="AY4">
        <v>2</v>
      </c>
      <c r="AZ4">
        <v>0</v>
      </c>
      <c r="BB4">
        <v>9.9</v>
      </c>
      <c r="BC4">
        <v>10.3</v>
      </c>
      <c r="BD4">
        <v>320</v>
      </c>
      <c r="BE4">
        <v>65</v>
      </c>
      <c r="BF4">
        <v>17.3</v>
      </c>
      <c r="BG4">
        <v>332</v>
      </c>
      <c r="BH4">
        <v>131</v>
      </c>
      <c r="BI4">
        <v>96</v>
      </c>
      <c r="BJ4">
        <v>55</v>
      </c>
      <c r="BK4" t="s">
        <v>144</v>
      </c>
      <c r="BL4">
        <v>0.32</v>
      </c>
      <c r="BM4" t="s">
        <v>144</v>
      </c>
      <c r="BN4">
        <v>7.4</v>
      </c>
      <c r="BO4">
        <v>62</v>
      </c>
      <c r="BP4">
        <v>33</v>
      </c>
      <c r="BQ4">
        <v>20</v>
      </c>
      <c r="BR4">
        <v>5.2</v>
      </c>
      <c r="BS4">
        <v>51</v>
      </c>
      <c r="BT4" t="s">
        <v>144</v>
      </c>
      <c r="BU4">
        <v>46</v>
      </c>
      <c r="BV4">
        <v>26</v>
      </c>
      <c r="BW4">
        <v>367</v>
      </c>
      <c r="BX4">
        <v>93</v>
      </c>
      <c r="BY4" s="3">
        <v>45127</v>
      </c>
      <c r="CA4">
        <v>52.5</v>
      </c>
      <c r="CB4">
        <v>14</v>
      </c>
      <c r="CC4">
        <v>4</v>
      </c>
      <c r="CD4">
        <v>2</v>
      </c>
      <c r="CE4">
        <v>3</v>
      </c>
      <c r="CF4">
        <v>3</v>
      </c>
      <c r="CG4">
        <v>2</v>
      </c>
      <c r="CH4">
        <v>0</v>
      </c>
      <c r="CI4">
        <v>15.2</v>
      </c>
      <c r="CJ4">
        <v>9.3000000000000007</v>
      </c>
      <c r="CK4">
        <v>234</v>
      </c>
      <c r="CL4">
        <v>67</v>
      </c>
      <c r="CM4">
        <v>44</v>
      </c>
      <c r="CN4">
        <v>360</v>
      </c>
      <c r="CO4">
        <v>142</v>
      </c>
      <c r="CP4">
        <v>108</v>
      </c>
      <c r="CQ4">
        <v>45</v>
      </c>
      <c r="CR4" t="s">
        <v>282</v>
      </c>
      <c r="CS4" t="s">
        <v>282</v>
      </c>
      <c r="CT4" t="s">
        <v>282</v>
      </c>
      <c r="CU4">
        <v>7.4</v>
      </c>
      <c r="CV4">
        <v>70</v>
      </c>
      <c r="CW4">
        <v>30</v>
      </c>
      <c r="CX4">
        <v>19</v>
      </c>
      <c r="CY4">
        <v>1.3</v>
      </c>
      <c r="CZ4">
        <v>53</v>
      </c>
      <c r="DA4" t="s">
        <v>144</v>
      </c>
      <c r="DB4">
        <v>50</v>
      </c>
      <c r="DC4">
        <v>29</v>
      </c>
      <c r="DD4">
        <v>513</v>
      </c>
      <c r="DE4">
        <v>70</v>
      </c>
      <c r="DF4">
        <v>1</v>
      </c>
      <c r="DG4">
        <v>2</v>
      </c>
      <c r="DH4">
        <v>100</v>
      </c>
      <c r="DI4">
        <v>1000</v>
      </c>
      <c r="DJ4">
        <v>1</v>
      </c>
      <c r="DK4">
        <v>2</v>
      </c>
      <c r="DL4">
        <v>0.18</v>
      </c>
      <c r="DM4">
        <v>1</v>
      </c>
      <c r="DN4">
        <v>0</v>
      </c>
      <c r="DO4">
        <v>0</v>
      </c>
      <c r="DP4">
        <v>80</v>
      </c>
      <c r="DQ4">
        <v>0</v>
      </c>
      <c r="DR4">
        <v>0</v>
      </c>
      <c r="DS4">
        <v>0</v>
      </c>
      <c r="DT4">
        <v>111</v>
      </c>
      <c r="DU4">
        <v>53</v>
      </c>
      <c r="DV4">
        <v>74</v>
      </c>
      <c r="DW4">
        <v>107</v>
      </c>
      <c r="DX4">
        <v>36.6</v>
      </c>
      <c r="DY4">
        <v>0</v>
      </c>
      <c r="DZ4">
        <v>1</v>
      </c>
      <c r="EA4">
        <v>0</v>
      </c>
      <c r="EB4">
        <v>5</v>
      </c>
      <c r="EC4">
        <v>30</v>
      </c>
      <c r="ED4">
        <v>60</v>
      </c>
      <c r="EE4">
        <v>7.8</v>
      </c>
      <c r="EF4">
        <v>50</v>
      </c>
      <c r="EG4">
        <v>15</v>
      </c>
      <c r="EH4">
        <v>0</v>
      </c>
      <c r="EI4">
        <v>0</v>
      </c>
      <c r="EJ4">
        <v>0</v>
      </c>
      <c r="EK4">
        <v>0.8</v>
      </c>
      <c r="EL4">
        <v>5.4</v>
      </c>
      <c r="EM4" t="s">
        <v>144</v>
      </c>
      <c r="EN4" t="s">
        <v>144</v>
      </c>
      <c r="EO4" t="s">
        <v>144</v>
      </c>
      <c r="EP4">
        <v>0</v>
      </c>
      <c r="EQ4">
        <v>1.2</v>
      </c>
      <c r="ER4">
        <v>175.08</v>
      </c>
      <c r="ES4">
        <v>24.1</v>
      </c>
      <c r="ET4">
        <v>115</v>
      </c>
      <c r="EU4">
        <v>255</v>
      </c>
      <c r="EV4">
        <v>112</v>
      </c>
      <c r="EW4">
        <v>51</v>
      </c>
      <c r="EX4">
        <v>74</v>
      </c>
      <c r="EY4">
        <v>108</v>
      </c>
      <c r="EZ4">
        <v>7.6</v>
      </c>
      <c r="FA4" t="s">
        <v>144</v>
      </c>
      <c r="FB4">
        <v>0</v>
      </c>
      <c r="FC4">
        <v>1.2</v>
      </c>
      <c r="FD4">
        <v>172.1</v>
      </c>
      <c r="FE4">
        <v>56.1</v>
      </c>
      <c r="FF4">
        <v>14.2</v>
      </c>
      <c r="FG4">
        <v>431</v>
      </c>
      <c r="FH4">
        <v>116</v>
      </c>
      <c r="FI4">
        <v>56</v>
      </c>
      <c r="FJ4">
        <v>79</v>
      </c>
      <c r="FK4">
        <v>106</v>
      </c>
      <c r="FL4">
        <v>7.5</v>
      </c>
      <c r="FM4" t="s">
        <v>144</v>
      </c>
      <c r="FN4">
        <v>0</v>
      </c>
      <c r="FO4">
        <v>1.1000000000000001</v>
      </c>
      <c r="FP4">
        <v>179.49</v>
      </c>
      <c r="FQ4">
        <v>27.27</v>
      </c>
      <c r="FR4">
        <v>101</v>
      </c>
      <c r="FS4">
        <v>245</v>
      </c>
      <c r="FT4">
        <v>120</v>
      </c>
      <c r="FU4">
        <v>58</v>
      </c>
      <c r="FV4">
        <v>82</v>
      </c>
      <c r="FW4">
        <v>108</v>
      </c>
      <c r="FX4">
        <v>8.3000000000000007</v>
      </c>
      <c r="FY4">
        <v>50</v>
      </c>
      <c r="FZ4">
        <v>0.7</v>
      </c>
      <c r="GA4">
        <v>4.5</v>
      </c>
      <c r="GB4">
        <v>13</v>
      </c>
      <c r="GC4">
        <v>0</v>
      </c>
      <c r="GD4" t="s">
        <v>144</v>
      </c>
      <c r="GE4">
        <v>0</v>
      </c>
      <c r="GF4">
        <v>0.9</v>
      </c>
      <c r="GG4">
        <v>92.79</v>
      </c>
      <c r="GH4">
        <v>19</v>
      </c>
      <c r="GI4">
        <v>49</v>
      </c>
      <c r="GJ4">
        <v>148</v>
      </c>
      <c r="GK4">
        <v>119</v>
      </c>
      <c r="GL4">
        <v>56</v>
      </c>
      <c r="GM4">
        <v>79</v>
      </c>
      <c r="GN4">
        <v>105</v>
      </c>
      <c r="GO4">
        <v>8.3000000000000007</v>
      </c>
      <c r="GP4" t="s">
        <v>144</v>
      </c>
      <c r="GQ4">
        <v>0</v>
      </c>
      <c r="GR4">
        <v>1.05</v>
      </c>
      <c r="GS4">
        <v>121.11</v>
      </c>
      <c r="GT4">
        <v>24.48</v>
      </c>
      <c r="GU4">
        <v>66</v>
      </c>
      <c r="GV4">
        <v>183</v>
      </c>
      <c r="GW4">
        <v>116</v>
      </c>
      <c r="GX4">
        <v>55</v>
      </c>
      <c r="GY4">
        <v>78</v>
      </c>
      <c r="GZ4">
        <v>103</v>
      </c>
      <c r="HA4">
        <v>8.3000000000000007</v>
      </c>
      <c r="HB4" t="s">
        <v>144</v>
      </c>
      <c r="HC4">
        <v>0</v>
      </c>
      <c r="HD4">
        <v>1.1000000000000001</v>
      </c>
      <c r="HE4">
        <v>224.24</v>
      </c>
      <c r="HF4">
        <v>42.7</v>
      </c>
      <c r="HG4">
        <v>141.30000000000001</v>
      </c>
      <c r="HH4">
        <v>358</v>
      </c>
      <c r="HL4">
        <f t="shared" si="2"/>
        <v>-2.9800000000000182</v>
      </c>
      <c r="HM4" s="16">
        <f t="shared" si="3"/>
        <v>-1.7020790495773465E-2</v>
      </c>
      <c r="HN4">
        <f t="shared" si="4"/>
        <v>-86.7</v>
      </c>
      <c r="HO4" s="16">
        <f t="shared" si="5"/>
        <v>-0.48303526658866791</v>
      </c>
      <c r="HP4" s="26">
        <f t="shared" si="6"/>
        <v>-83.719999999999985</v>
      </c>
      <c r="HR4" s="16">
        <f>HQ4/FP4</f>
        <v>0</v>
      </c>
      <c r="HS4">
        <f>HE4-GG4</f>
        <v>131.44999999999999</v>
      </c>
      <c r="HT4">
        <f>EZ4-EE4</f>
        <v>-0.20000000000000018</v>
      </c>
      <c r="HU4" s="28">
        <f>(HT4/EE4)*100</f>
        <v>-2.5641025641025665</v>
      </c>
      <c r="HV4">
        <f>FX4-FL4</f>
        <v>0.80000000000000071</v>
      </c>
      <c r="HW4" s="28">
        <f>(HV4/FL4)*100</f>
        <v>10.666666666666675</v>
      </c>
    </row>
    <row r="5" spans="1:255" x14ac:dyDescent="0.35">
      <c r="A5" t="s">
        <v>295</v>
      </c>
      <c r="B5" t="s">
        <v>296</v>
      </c>
      <c r="C5" s="3">
        <v>28928</v>
      </c>
      <c r="D5">
        <v>44</v>
      </c>
      <c r="E5">
        <v>51.5</v>
      </c>
      <c r="F5">
        <v>165</v>
      </c>
      <c r="G5">
        <f t="shared" si="0"/>
        <v>1.65</v>
      </c>
      <c r="H5">
        <f t="shared" si="1"/>
        <v>18.916437098255283</v>
      </c>
      <c r="I5">
        <v>0</v>
      </c>
      <c r="J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144</v>
      </c>
      <c r="AK5" s="3">
        <v>45063</v>
      </c>
      <c r="AL5" t="s">
        <v>297</v>
      </c>
      <c r="AM5">
        <v>5</v>
      </c>
      <c r="AN5">
        <v>0</v>
      </c>
      <c r="AO5">
        <v>0</v>
      </c>
      <c r="AP5">
        <v>0</v>
      </c>
      <c r="AQ5">
        <v>0</v>
      </c>
      <c r="AR5">
        <v>0</v>
      </c>
      <c r="AS5">
        <v>43</v>
      </c>
      <c r="AT5">
        <v>3</v>
      </c>
      <c r="AU5">
        <v>0</v>
      </c>
      <c r="AV5">
        <v>0</v>
      </c>
      <c r="AW5">
        <v>3</v>
      </c>
      <c r="AX5">
        <v>0</v>
      </c>
      <c r="AY5">
        <v>0</v>
      </c>
      <c r="AZ5">
        <v>0</v>
      </c>
      <c r="BB5">
        <v>4.54</v>
      </c>
      <c r="BC5">
        <v>9.6</v>
      </c>
      <c r="BD5">
        <v>240</v>
      </c>
      <c r="BE5">
        <v>87</v>
      </c>
      <c r="BF5">
        <v>6.9</v>
      </c>
      <c r="BG5">
        <v>78</v>
      </c>
      <c r="BH5">
        <v>142</v>
      </c>
      <c r="BI5">
        <v>111</v>
      </c>
      <c r="BJ5">
        <v>5</v>
      </c>
      <c r="BK5" t="s">
        <v>144</v>
      </c>
      <c r="BL5" t="s">
        <v>144</v>
      </c>
      <c r="BM5" t="s">
        <v>144</v>
      </c>
      <c r="BN5">
        <v>7.36</v>
      </c>
      <c r="BO5">
        <v>90</v>
      </c>
      <c r="BP5">
        <v>42</v>
      </c>
      <c r="BQ5">
        <v>24</v>
      </c>
      <c r="BR5">
        <v>0.4</v>
      </c>
      <c r="BS5">
        <v>97</v>
      </c>
      <c r="BT5" t="s">
        <v>144</v>
      </c>
      <c r="BU5">
        <v>115</v>
      </c>
      <c r="BV5">
        <v>81</v>
      </c>
      <c r="BW5">
        <v>499</v>
      </c>
      <c r="BX5">
        <v>175</v>
      </c>
      <c r="BY5" s="3">
        <v>45065</v>
      </c>
      <c r="BZ5">
        <v>48</v>
      </c>
      <c r="CA5">
        <v>52</v>
      </c>
      <c r="CB5">
        <v>3</v>
      </c>
      <c r="CC5">
        <v>0</v>
      </c>
      <c r="CD5">
        <v>0</v>
      </c>
      <c r="CE5">
        <v>3</v>
      </c>
      <c r="CF5">
        <v>0</v>
      </c>
      <c r="CG5">
        <v>0</v>
      </c>
      <c r="CH5">
        <v>0</v>
      </c>
      <c r="CI5">
        <v>7.17</v>
      </c>
      <c r="CJ5">
        <v>9.3000000000000007</v>
      </c>
      <c r="CK5">
        <v>295</v>
      </c>
      <c r="CL5">
        <v>88</v>
      </c>
      <c r="CM5">
        <v>4.2</v>
      </c>
      <c r="CN5">
        <v>86</v>
      </c>
      <c r="CO5">
        <v>144</v>
      </c>
      <c r="CP5">
        <v>110</v>
      </c>
      <c r="CQ5" t="s">
        <v>144</v>
      </c>
      <c r="CR5" t="s">
        <v>144</v>
      </c>
      <c r="CS5" t="s">
        <v>144</v>
      </c>
      <c r="CT5" t="s">
        <v>144</v>
      </c>
      <c r="CU5" t="s">
        <v>144</v>
      </c>
      <c r="CV5" t="s">
        <v>144</v>
      </c>
      <c r="CW5" t="s">
        <v>144</v>
      </c>
      <c r="CX5" t="s">
        <v>144</v>
      </c>
      <c r="CY5" t="s">
        <v>144</v>
      </c>
      <c r="CZ5">
        <v>92</v>
      </c>
      <c r="DA5" t="s">
        <v>144</v>
      </c>
      <c r="DB5">
        <v>115</v>
      </c>
      <c r="DC5">
        <v>81</v>
      </c>
      <c r="DD5">
        <v>373</v>
      </c>
      <c r="DE5">
        <v>571</v>
      </c>
      <c r="DF5">
        <v>2</v>
      </c>
      <c r="DG5">
        <v>1</v>
      </c>
      <c r="DH5">
        <v>500</v>
      </c>
      <c r="DI5">
        <v>1000</v>
      </c>
      <c r="DJ5">
        <v>1</v>
      </c>
      <c r="DK5">
        <v>0</v>
      </c>
      <c r="DM5">
        <v>0</v>
      </c>
      <c r="DN5">
        <v>0</v>
      </c>
      <c r="DO5">
        <v>0</v>
      </c>
      <c r="DP5">
        <v>250</v>
      </c>
      <c r="DQ5">
        <v>10</v>
      </c>
      <c r="DR5">
        <v>0</v>
      </c>
      <c r="DS5">
        <v>0</v>
      </c>
      <c r="DT5">
        <v>143</v>
      </c>
      <c r="DU5">
        <v>75</v>
      </c>
      <c r="DV5">
        <v>93</v>
      </c>
      <c r="DW5">
        <v>147</v>
      </c>
      <c r="DX5">
        <v>37.5</v>
      </c>
      <c r="DY5">
        <v>0</v>
      </c>
      <c r="DZ5">
        <v>1</v>
      </c>
      <c r="EA5">
        <v>0</v>
      </c>
      <c r="EB5">
        <v>5</v>
      </c>
      <c r="EC5">
        <v>30</v>
      </c>
      <c r="ED5">
        <v>60</v>
      </c>
      <c r="EE5">
        <v>6.3</v>
      </c>
      <c r="EF5">
        <v>50</v>
      </c>
      <c r="EG5">
        <v>12</v>
      </c>
      <c r="EH5">
        <v>100</v>
      </c>
      <c r="EI5">
        <v>0</v>
      </c>
      <c r="EJ5">
        <v>0</v>
      </c>
      <c r="EK5">
        <v>1.3</v>
      </c>
      <c r="EL5">
        <v>4.9000000000000004</v>
      </c>
      <c r="EM5" t="s">
        <v>144</v>
      </c>
      <c r="EN5" t="s">
        <v>144</v>
      </c>
      <c r="EO5" t="s">
        <v>144</v>
      </c>
      <c r="EP5">
        <v>3</v>
      </c>
      <c r="EQ5">
        <v>1.1000000000000001</v>
      </c>
      <c r="ER5">
        <v>478.99</v>
      </c>
      <c r="ES5">
        <v>12.9</v>
      </c>
      <c r="ET5">
        <v>441</v>
      </c>
      <c r="EU5">
        <v>518</v>
      </c>
      <c r="EV5">
        <v>137</v>
      </c>
      <c r="EW5">
        <v>76</v>
      </c>
      <c r="EX5">
        <v>93</v>
      </c>
      <c r="EY5">
        <v>138</v>
      </c>
      <c r="EZ5">
        <v>7</v>
      </c>
      <c r="FA5" t="s">
        <v>144</v>
      </c>
      <c r="FB5">
        <v>3</v>
      </c>
      <c r="FC5">
        <v>1.27</v>
      </c>
      <c r="FD5">
        <v>411.96</v>
      </c>
      <c r="FE5">
        <v>0.8</v>
      </c>
      <c r="FF5">
        <v>241</v>
      </c>
      <c r="FG5">
        <v>496</v>
      </c>
      <c r="FH5">
        <v>130</v>
      </c>
      <c r="FI5">
        <v>77</v>
      </c>
      <c r="FJ5">
        <v>91</v>
      </c>
      <c r="FK5">
        <v>142</v>
      </c>
      <c r="FL5">
        <v>5.8</v>
      </c>
      <c r="FM5" t="s">
        <v>144</v>
      </c>
      <c r="FN5">
        <v>3</v>
      </c>
      <c r="FO5">
        <v>0.8</v>
      </c>
      <c r="FP5">
        <v>431.6</v>
      </c>
      <c r="FQ5">
        <v>24.3</v>
      </c>
      <c r="FR5">
        <v>347</v>
      </c>
      <c r="FS5">
        <v>486</v>
      </c>
      <c r="FT5">
        <v>141</v>
      </c>
      <c r="FU5">
        <v>76</v>
      </c>
      <c r="FV5">
        <v>94</v>
      </c>
      <c r="FW5">
        <v>138</v>
      </c>
      <c r="FX5">
        <v>7.2</v>
      </c>
      <c r="FY5">
        <v>50</v>
      </c>
      <c r="FZ5">
        <v>1.7</v>
      </c>
      <c r="GA5">
        <v>7</v>
      </c>
      <c r="GB5">
        <v>15</v>
      </c>
      <c r="GC5">
        <v>100</v>
      </c>
      <c r="GD5" t="s">
        <v>144</v>
      </c>
      <c r="GE5">
        <v>3</v>
      </c>
      <c r="GF5">
        <v>1.4</v>
      </c>
      <c r="GG5">
        <v>356.7</v>
      </c>
      <c r="GH5">
        <v>22</v>
      </c>
      <c r="GI5">
        <v>287</v>
      </c>
      <c r="GJ5">
        <v>431</v>
      </c>
      <c r="GK5">
        <v>131</v>
      </c>
      <c r="GL5">
        <v>74</v>
      </c>
      <c r="GM5">
        <v>90</v>
      </c>
      <c r="GN5">
        <v>138</v>
      </c>
      <c r="GO5">
        <v>6.3</v>
      </c>
      <c r="GP5" t="s">
        <v>144</v>
      </c>
      <c r="GQ5">
        <v>2</v>
      </c>
      <c r="GR5">
        <v>0.6</v>
      </c>
      <c r="GS5">
        <v>459.9</v>
      </c>
      <c r="GT5">
        <v>18</v>
      </c>
      <c r="GU5">
        <v>397</v>
      </c>
      <c r="GV5">
        <v>525</v>
      </c>
      <c r="GW5">
        <v>125</v>
      </c>
      <c r="GX5">
        <v>76</v>
      </c>
      <c r="GY5">
        <v>89</v>
      </c>
      <c r="GZ5">
        <v>134</v>
      </c>
      <c r="HA5">
        <v>7</v>
      </c>
      <c r="HB5" t="s">
        <v>144</v>
      </c>
      <c r="HC5">
        <v>2</v>
      </c>
      <c r="HD5">
        <v>0.7</v>
      </c>
      <c r="HE5">
        <v>469.22</v>
      </c>
      <c r="HF5">
        <v>14.9</v>
      </c>
      <c r="HG5">
        <v>417</v>
      </c>
      <c r="HH5">
        <v>507</v>
      </c>
      <c r="HI5">
        <v>0</v>
      </c>
      <c r="HJ5">
        <v>0</v>
      </c>
      <c r="HL5">
        <f t="shared" si="2"/>
        <v>-67.03000000000003</v>
      </c>
      <c r="HM5" s="16">
        <f t="shared" si="3"/>
        <v>-0.13994029102904032</v>
      </c>
      <c r="HN5">
        <f t="shared" si="4"/>
        <v>-74.900000000000034</v>
      </c>
      <c r="HO5" s="16">
        <f t="shared" si="5"/>
        <v>-0.17354031510658025</v>
      </c>
      <c r="HP5" s="26">
        <f t="shared" si="6"/>
        <v>-7.8700000000000045</v>
      </c>
      <c r="HQ5">
        <f>HE5-FP5</f>
        <v>37.620000000000005</v>
      </c>
      <c r="HR5" s="16">
        <f>HQ5/FP5</f>
        <v>8.7164040778498611E-2</v>
      </c>
      <c r="HS5">
        <f>HE5-GG5</f>
        <v>112.52000000000004</v>
      </c>
      <c r="HT5">
        <f>EZ5-EE5</f>
        <v>0.70000000000000018</v>
      </c>
      <c r="HU5" s="28">
        <f>(HT5/EE5)*100</f>
        <v>11.111111111111114</v>
      </c>
      <c r="HV5">
        <f>FX5-FL5</f>
        <v>1.4000000000000004</v>
      </c>
      <c r="HW5" s="29">
        <f>(HV5/FL5)*100</f>
        <v>24.137931034482765</v>
      </c>
    </row>
    <row r="6" spans="1:255" x14ac:dyDescent="0.35">
      <c r="A6" t="s">
        <v>204</v>
      </c>
      <c r="B6" t="s">
        <v>205</v>
      </c>
      <c r="C6" s="3">
        <v>19614</v>
      </c>
      <c r="D6">
        <v>69</v>
      </c>
      <c r="E6">
        <v>101</v>
      </c>
      <c r="F6">
        <v>169</v>
      </c>
      <c r="G6">
        <f t="shared" si="0"/>
        <v>1.69</v>
      </c>
      <c r="H6">
        <f t="shared" si="1"/>
        <v>35.362907461223351</v>
      </c>
      <c r="I6">
        <v>0</v>
      </c>
      <c r="J6">
        <v>1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30</v>
      </c>
      <c r="AG6">
        <v>1</v>
      </c>
      <c r="AH6">
        <v>1</v>
      </c>
      <c r="AI6">
        <v>0</v>
      </c>
      <c r="AJ6">
        <v>1</v>
      </c>
      <c r="AK6" s="3">
        <v>44992</v>
      </c>
      <c r="AL6" t="s">
        <v>41</v>
      </c>
      <c r="AM6">
        <v>4</v>
      </c>
      <c r="AN6">
        <v>0</v>
      </c>
      <c r="AO6">
        <v>0</v>
      </c>
      <c r="AP6">
        <v>0</v>
      </c>
      <c r="AQ6">
        <v>0</v>
      </c>
      <c r="AR6">
        <v>1</v>
      </c>
      <c r="AS6">
        <v>65</v>
      </c>
      <c r="AT6">
        <v>10</v>
      </c>
      <c r="AU6">
        <v>4</v>
      </c>
      <c r="AV6">
        <v>2</v>
      </c>
      <c r="AW6">
        <v>3</v>
      </c>
      <c r="AX6">
        <v>1</v>
      </c>
      <c r="AY6">
        <v>0</v>
      </c>
      <c r="AZ6">
        <v>0</v>
      </c>
      <c r="BB6">
        <v>16.5</v>
      </c>
      <c r="BC6" t="s">
        <v>206</v>
      </c>
      <c r="BD6">
        <v>359</v>
      </c>
      <c r="BE6">
        <v>63</v>
      </c>
      <c r="BF6" t="s">
        <v>207</v>
      </c>
      <c r="BG6">
        <v>157</v>
      </c>
      <c r="BH6">
        <v>132</v>
      </c>
      <c r="BI6">
        <v>98</v>
      </c>
      <c r="BJ6">
        <v>14</v>
      </c>
      <c r="BK6" t="s">
        <v>144</v>
      </c>
      <c r="BL6" t="s">
        <v>144</v>
      </c>
      <c r="BM6" t="s">
        <v>144</v>
      </c>
      <c r="BN6" t="s">
        <v>208</v>
      </c>
      <c r="BO6">
        <v>209</v>
      </c>
      <c r="BP6">
        <v>29</v>
      </c>
      <c r="BQ6">
        <v>20</v>
      </c>
      <c r="BR6" t="s">
        <v>209</v>
      </c>
      <c r="BS6">
        <v>94</v>
      </c>
      <c r="BT6">
        <v>132</v>
      </c>
      <c r="BU6">
        <v>41</v>
      </c>
      <c r="BV6">
        <v>44</v>
      </c>
      <c r="BW6">
        <v>734</v>
      </c>
      <c r="BX6">
        <v>140</v>
      </c>
      <c r="BY6" s="3">
        <v>45002</v>
      </c>
      <c r="CA6">
        <v>93</v>
      </c>
      <c r="CB6">
        <v>12</v>
      </c>
      <c r="CC6">
        <v>4</v>
      </c>
      <c r="CD6">
        <v>3</v>
      </c>
      <c r="CE6">
        <v>4</v>
      </c>
      <c r="CF6">
        <v>1</v>
      </c>
      <c r="CG6">
        <v>0</v>
      </c>
      <c r="CH6">
        <v>0</v>
      </c>
      <c r="CI6" t="s">
        <v>210</v>
      </c>
      <c r="CJ6" t="s">
        <v>211</v>
      </c>
      <c r="CK6">
        <v>399</v>
      </c>
      <c r="CL6">
        <v>63</v>
      </c>
      <c r="CM6" t="s">
        <v>212</v>
      </c>
      <c r="CN6">
        <v>118</v>
      </c>
      <c r="CO6">
        <v>141</v>
      </c>
      <c r="CP6">
        <v>110</v>
      </c>
      <c r="CQ6">
        <v>12</v>
      </c>
      <c r="CR6" t="s">
        <v>144</v>
      </c>
      <c r="CS6" t="s">
        <v>144</v>
      </c>
      <c r="CT6" t="s">
        <v>144</v>
      </c>
      <c r="CU6" t="s">
        <v>213</v>
      </c>
      <c r="CV6">
        <v>182</v>
      </c>
      <c r="CW6">
        <v>39</v>
      </c>
      <c r="CX6">
        <v>21</v>
      </c>
      <c r="CY6" t="s">
        <v>214</v>
      </c>
      <c r="CZ6" t="s">
        <v>144</v>
      </c>
      <c r="DA6" t="s">
        <v>144</v>
      </c>
      <c r="DB6">
        <v>23</v>
      </c>
      <c r="DC6">
        <v>33</v>
      </c>
      <c r="DD6" t="s">
        <v>144</v>
      </c>
      <c r="DE6" t="s">
        <v>144</v>
      </c>
      <c r="DF6">
        <v>1</v>
      </c>
      <c r="DG6">
        <v>2</v>
      </c>
      <c r="DH6">
        <v>100</v>
      </c>
      <c r="DJ6">
        <v>0</v>
      </c>
      <c r="DK6">
        <v>0</v>
      </c>
      <c r="DL6">
        <v>0.9</v>
      </c>
      <c r="DM6">
        <v>1</v>
      </c>
      <c r="DN6">
        <v>0</v>
      </c>
      <c r="DO6">
        <v>0</v>
      </c>
      <c r="DP6">
        <v>120</v>
      </c>
      <c r="DQ6">
        <v>10</v>
      </c>
      <c r="DR6">
        <v>0</v>
      </c>
      <c r="DS6">
        <v>0</v>
      </c>
      <c r="DT6">
        <v>93</v>
      </c>
      <c r="DU6">
        <v>39</v>
      </c>
      <c r="DV6">
        <v>55</v>
      </c>
      <c r="DW6">
        <v>88</v>
      </c>
      <c r="DX6">
        <v>37</v>
      </c>
      <c r="DY6">
        <v>0</v>
      </c>
      <c r="DZ6">
        <v>0</v>
      </c>
      <c r="EA6">
        <v>1</v>
      </c>
      <c r="EB6">
        <v>10</v>
      </c>
      <c r="EC6">
        <v>100</v>
      </c>
      <c r="ED6">
        <v>60</v>
      </c>
      <c r="EE6">
        <v>4.2</v>
      </c>
      <c r="EF6">
        <v>20</v>
      </c>
      <c r="EG6">
        <v>14</v>
      </c>
      <c r="EH6">
        <v>50</v>
      </c>
      <c r="EI6">
        <v>0</v>
      </c>
      <c r="EJ6">
        <v>0</v>
      </c>
      <c r="EK6">
        <v>1</v>
      </c>
      <c r="EL6">
        <v>16</v>
      </c>
      <c r="EM6">
        <v>5</v>
      </c>
      <c r="EN6" t="s">
        <v>144</v>
      </c>
      <c r="EO6" t="s">
        <v>144</v>
      </c>
      <c r="EP6">
        <v>2</v>
      </c>
      <c r="EQ6">
        <v>3.13</v>
      </c>
      <c r="ER6">
        <v>94.17</v>
      </c>
      <c r="ES6" t="s">
        <v>218</v>
      </c>
      <c r="ET6" t="s">
        <v>219</v>
      </c>
      <c r="EU6" t="s">
        <v>220</v>
      </c>
      <c r="EV6">
        <v>84</v>
      </c>
      <c r="EW6">
        <v>39</v>
      </c>
      <c r="EX6">
        <v>52</v>
      </c>
      <c r="EY6">
        <v>80</v>
      </c>
      <c r="EZ6">
        <v>3.7</v>
      </c>
      <c r="FA6">
        <v>5</v>
      </c>
      <c r="FB6">
        <v>2</v>
      </c>
      <c r="FC6" t="s">
        <v>225</v>
      </c>
      <c r="FD6">
        <v>89.9</v>
      </c>
      <c r="FE6" t="s">
        <v>222</v>
      </c>
      <c r="FF6" t="s">
        <v>223</v>
      </c>
      <c r="FG6" t="s">
        <v>224</v>
      </c>
      <c r="FH6">
        <v>102</v>
      </c>
      <c r="FI6">
        <v>48</v>
      </c>
      <c r="FJ6">
        <v>65</v>
      </c>
      <c r="FK6">
        <v>80</v>
      </c>
      <c r="FL6">
        <v>4.4000000000000004</v>
      </c>
      <c r="FM6">
        <v>5</v>
      </c>
      <c r="FN6">
        <v>2</v>
      </c>
      <c r="FO6" t="s">
        <v>227</v>
      </c>
      <c r="FP6">
        <v>129.34</v>
      </c>
      <c r="FQ6" t="s">
        <v>228</v>
      </c>
      <c r="FR6" t="s">
        <v>229</v>
      </c>
      <c r="FS6" t="s">
        <v>230</v>
      </c>
      <c r="FT6">
        <v>116</v>
      </c>
      <c r="FU6">
        <v>43</v>
      </c>
      <c r="FV6">
        <v>67</v>
      </c>
      <c r="FW6">
        <v>78</v>
      </c>
      <c r="FX6">
        <v>4</v>
      </c>
      <c r="GD6">
        <v>5</v>
      </c>
      <c r="GE6">
        <v>1</v>
      </c>
      <c r="GF6" t="s">
        <v>231</v>
      </c>
      <c r="GG6">
        <v>101.34</v>
      </c>
      <c r="GH6" t="s">
        <v>232</v>
      </c>
      <c r="GI6" t="s">
        <v>233</v>
      </c>
      <c r="GJ6" t="s">
        <v>234</v>
      </c>
      <c r="HI6">
        <v>1</v>
      </c>
      <c r="HJ6">
        <v>1</v>
      </c>
      <c r="HK6" s="3">
        <v>45028</v>
      </c>
      <c r="HL6">
        <f t="shared" si="2"/>
        <v>-4.269999999999996</v>
      </c>
      <c r="HM6" s="16">
        <f t="shared" si="3"/>
        <v>-4.5343527662737561E-2</v>
      </c>
      <c r="HN6">
        <f t="shared" si="4"/>
        <v>-28</v>
      </c>
      <c r="HO6" s="16">
        <f t="shared" si="5"/>
        <v>-0.21648368640791713</v>
      </c>
      <c r="HP6" s="26">
        <f t="shared" si="6"/>
        <v>-23.730000000000004</v>
      </c>
      <c r="HR6" s="16"/>
      <c r="HT6">
        <f>EZ6-EE6</f>
        <v>-0.5</v>
      </c>
      <c r="HU6" s="28">
        <f>(HT6/EE6)*100</f>
        <v>-11.904761904761903</v>
      </c>
      <c r="HV6">
        <f>FX6-FL6</f>
        <v>-0.40000000000000036</v>
      </c>
      <c r="HW6" s="28">
        <f>(HV6/FL6)*100</f>
        <v>-9.0909090909090988</v>
      </c>
    </row>
    <row r="7" spans="1:255" x14ac:dyDescent="0.35">
      <c r="A7" t="s">
        <v>370</v>
      </c>
      <c r="B7" t="s">
        <v>371</v>
      </c>
      <c r="C7" s="3">
        <v>16483</v>
      </c>
      <c r="D7">
        <v>78</v>
      </c>
      <c r="F7">
        <v>173</v>
      </c>
      <c r="G7">
        <f t="shared" si="0"/>
        <v>1.73</v>
      </c>
      <c r="H7">
        <f t="shared" si="1"/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K7" s="3">
        <v>45214</v>
      </c>
      <c r="AL7" t="s">
        <v>383</v>
      </c>
      <c r="AM7">
        <v>5</v>
      </c>
      <c r="AN7">
        <v>1</v>
      </c>
      <c r="AO7">
        <v>1</v>
      </c>
      <c r="AP7">
        <v>0</v>
      </c>
      <c r="AQ7">
        <v>0</v>
      </c>
      <c r="AR7">
        <v>0</v>
      </c>
      <c r="AT7">
        <v>12</v>
      </c>
      <c r="AU7">
        <v>1</v>
      </c>
      <c r="AV7">
        <v>0</v>
      </c>
      <c r="AW7">
        <v>0</v>
      </c>
      <c r="AX7">
        <v>4</v>
      </c>
      <c r="AY7">
        <v>4</v>
      </c>
      <c r="AZ7">
        <v>3</v>
      </c>
      <c r="BB7">
        <v>16.7</v>
      </c>
      <c r="BC7">
        <v>9</v>
      </c>
      <c r="BD7">
        <v>27</v>
      </c>
      <c r="BE7">
        <v>54</v>
      </c>
      <c r="BF7">
        <v>33</v>
      </c>
      <c r="BG7">
        <v>591</v>
      </c>
      <c r="BH7">
        <v>132</v>
      </c>
      <c r="BI7">
        <v>100</v>
      </c>
      <c r="BJ7">
        <v>420</v>
      </c>
      <c r="BN7">
        <v>7.33</v>
      </c>
      <c r="BO7">
        <v>119</v>
      </c>
      <c r="BP7">
        <v>40</v>
      </c>
      <c r="BQ7">
        <v>21</v>
      </c>
      <c r="BR7">
        <v>1.4</v>
      </c>
      <c r="BS7">
        <v>65</v>
      </c>
      <c r="BT7">
        <v>167</v>
      </c>
      <c r="BU7">
        <v>410</v>
      </c>
      <c r="BV7">
        <v>227</v>
      </c>
      <c r="BY7" s="3">
        <v>45216</v>
      </c>
      <c r="BZ7">
        <v>13</v>
      </c>
      <c r="CB7">
        <v>11</v>
      </c>
      <c r="CC7">
        <v>0</v>
      </c>
      <c r="CD7">
        <v>0</v>
      </c>
      <c r="CE7">
        <v>0</v>
      </c>
      <c r="CF7">
        <v>4</v>
      </c>
      <c r="CG7">
        <v>4</v>
      </c>
      <c r="CH7">
        <v>3</v>
      </c>
      <c r="CI7">
        <v>14.3</v>
      </c>
      <c r="CJ7">
        <v>7.9</v>
      </c>
      <c r="CK7">
        <v>43</v>
      </c>
      <c r="CL7">
        <v>137</v>
      </c>
      <c r="CM7">
        <v>33</v>
      </c>
      <c r="CN7">
        <v>591</v>
      </c>
      <c r="CO7">
        <v>137</v>
      </c>
      <c r="CP7">
        <v>103</v>
      </c>
      <c r="CQ7">
        <v>452</v>
      </c>
      <c r="CZ7">
        <v>56</v>
      </c>
      <c r="DA7">
        <v>127</v>
      </c>
      <c r="DB7">
        <v>189</v>
      </c>
      <c r="DC7">
        <v>144</v>
      </c>
      <c r="DD7">
        <v>857</v>
      </c>
      <c r="DE7">
        <v>104</v>
      </c>
      <c r="DF7">
        <v>2</v>
      </c>
      <c r="DG7">
        <v>2</v>
      </c>
      <c r="DH7">
        <v>100</v>
      </c>
      <c r="DI7">
        <v>500</v>
      </c>
      <c r="DJ7">
        <v>1</v>
      </c>
      <c r="DK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127</v>
      </c>
      <c r="DU7">
        <v>75</v>
      </c>
      <c r="DV7">
        <v>90</v>
      </c>
      <c r="DW7">
        <v>78</v>
      </c>
      <c r="DX7">
        <v>37.1</v>
      </c>
      <c r="DY7">
        <v>1</v>
      </c>
      <c r="DZ7">
        <v>0</v>
      </c>
      <c r="EA7">
        <v>0</v>
      </c>
      <c r="EB7">
        <v>0</v>
      </c>
      <c r="EC7">
        <v>0</v>
      </c>
      <c r="ED7">
        <v>2</v>
      </c>
      <c r="EQ7">
        <v>2.5</v>
      </c>
      <c r="ER7">
        <v>86.68</v>
      </c>
      <c r="EV7">
        <v>127</v>
      </c>
      <c r="EW7">
        <v>85</v>
      </c>
      <c r="EX7">
        <v>96</v>
      </c>
      <c r="EY7">
        <v>76</v>
      </c>
      <c r="FC7">
        <v>2.8</v>
      </c>
      <c r="FD7">
        <v>73.22</v>
      </c>
      <c r="FH7">
        <v>135</v>
      </c>
      <c r="FI7">
        <v>91</v>
      </c>
      <c r="FJ7">
        <v>94</v>
      </c>
      <c r="FK7">
        <v>76</v>
      </c>
      <c r="FO7">
        <v>2.1</v>
      </c>
      <c r="FP7">
        <v>105.49</v>
      </c>
      <c r="FT7">
        <v>147</v>
      </c>
      <c r="FU7">
        <v>79</v>
      </c>
      <c r="FV7">
        <v>97</v>
      </c>
      <c r="FW7">
        <v>72</v>
      </c>
      <c r="GF7">
        <v>1.8</v>
      </c>
      <c r="GG7">
        <v>77.89</v>
      </c>
      <c r="HL7">
        <f t="shared" si="2"/>
        <v>-13.460000000000008</v>
      </c>
      <c r="HM7" s="16">
        <f t="shared" si="3"/>
        <v>-0.15528380249192439</v>
      </c>
      <c r="HN7">
        <f t="shared" si="4"/>
        <v>-27.599999999999994</v>
      </c>
      <c r="HO7" s="16">
        <f t="shared" si="5"/>
        <v>-0.26163617404493311</v>
      </c>
      <c r="HP7" s="26">
        <f t="shared" si="6"/>
        <v>-14.139999999999986</v>
      </c>
      <c r="HU7" s="28"/>
      <c r="HW7" s="28"/>
    </row>
    <row r="8" spans="1:255" x14ac:dyDescent="0.35">
      <c r="A8" t="s">
        <v>298</v>
      </c>
      <c r="B8" t="s">
        <v>299</v>
      </c>
      <c r="C8" s="3">
        <v>22164</v>
      </c>
      <c r="D8">
        <v>62</v>
      </c>
      <c r="E8">
        <v>100</v>
      </c>
      <c r="F8">
        <v>175</v>
      </c>
      <c r="G8">
        <f t="shared" si="0"/>
        <v>1.75</v>
      </c>
      <c r="H8">
        <f t="shared" si="1"/>
        <v>32.653061224489797</v>
      </c>
      <c r="I8">
        <v>0</v>
      </c>
      <c r="J8">
        <v>1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144</v>
      </c>
      <c r="AK8" s="3">
        <v>45117</v>
      </c>
      <c r="AL8" t="s">
        <v>301</v>
      </c>
      <c r="AM8">
        <v>2</v>
      </c>
      <c r="AN8">
        <v>1</v>
      </c>
      <c r="AO8">
        <v>0</v>
      </c>
      <c r="AP8">
        <v>1</v>
      </c>
      <c r="AQ8">
        <v>0</v>
      </c>
      <c r="AR8">
        <v>0</v>
      </c>
      <c r="AS8">
        <v>44</v>
      </c>
      <c r="AT8">
        <v>9</v>
      </c>
      <c r="AU8">
        <v>4</v>
      </c>
      <c r="AV8">
        <v>1</v>
      </c>
      <c r="AW8">
        <v>1</v>
      </c>
      <c r="AX8">
        <v>2</v>
      </c>
      <c r="AY8">
        <v>1</v>
      </c>
      <c r="AZ8">
        <v>0</v>
      </c>
      <c r="BB8">
        <v>18.600000000000001</v>
      </c>
      <c r="BC8">
        <v>8.1999999999999993</v>
      </c>
      <c r="BD8">
        <v>319</v>
      </c>
      <c r="BE8">
        <v>39</v>
      </c>
      <c r="BF8">
        <v>34.6</v>
      </c>
      <c r="BG8">
        <v>269</v>
      </c>
      <c r="BH8">
        <v>136</v>
      </c>
      <c r="BI8">
        <v>104</v>
      </c>
      <c r="BJ8">
        <v>20</v>
      </c>
      <c r="BK8" t="s">
        <v>144</v>
      </c>
      <c r="BL8" t="s">
        <v>144</v>
      </c>
      <c r="BM8" t="s">
        <v>144</v>
      </c>
      <c r="BN8">
        <v>7.33</v>
      </c>
      <c r="BO8">
        <v>384</v>
      </c>
      <c r="BP8">
        <v>31.5</v>
      </c>
      <c r="BQ8">
        <v>16.7</v>
      </c>
      <c r="BR8">
        <v>3.6</v>
      </c>
      <c r="BS8">
        <v>40</v>
      </c>
      <c r="BT8">
        <v>58</v>
      </c>
      <c r="BU8">
        <v>30</v>
      </c>
      <c r="BV8">
        <v>18</v>
      </c>
      <c r="BW8">
        <v>152</v>
      </c>
      <c r="BX8">
        <v>53</v>
      </c>
      <c r="BY8" s="3">
        <v>45119</v>
      </c>
      <c r="BZ8">
        <v>48</v>
      </c>
      <c r="CA8">
        <v>101.5</v>
      </c>
      <c r="CB8">
        <v>11</v>
      </c>
      <c r="CC8">
        <v>4</v>
      </c>
      <c r="CD8">
        <v>3</v>
      </c>
      <c r="CE8">
        <v>1</v>
      </c>
      <c r="CF8">
        <v>0</v>
      </c>
      <c r="CG8">
        <v>2</v>
      </c>
      <c r="CH8">
        <v>1</v>
      </c>
      <c r="CI8">
        <v>12.7</v>
      </c>
      <c r="CJ8">
        <v>7.6</v>
      </c>
      <c r="CK8">
        <v>113</v>
      </c>
      <c r="CL8" t="s">
        <v>144</v>
      </c>
      <c r="CM8">
        <v>15</v>
      </c>
      <c r="CN8">
        <v>77</v>
      </c>
      <c r="CO8">
        <v>144</v>
      </c>
      <c r="CP8">
        <v>115</v>
      </c>
      <c r="CQ8">
        <v>50</v>
      </c>
      <c r="CR8" t="s">
        <v>282</v>
      </c>
      <c r="CS8" t="s">
        <v>282</v>
      </c>
      <c r="CT8" t="s">
        <v>282</v>
      </c>
      <c r="CU8">
        <v>7.5</v>
      </c>
      <c r="CV8">
        <v>130</v>
      </c>
      <c r="CW8">
        <v>28</v>
      </c>
      <c r="CX8">
        <v>22</v>
      </c>
      <c r="CY8">
        <v>2.1</v>
      </c>
      <c r="CZ8" t="s">
        <v>144</v>
      </c>
      <c r="DA8" t="s">
        <v>144</v>
      </c>
      <c r="DB8">
        <v>29</v>
      </c>
      <c r="DC8">
        <v>25</v>
      </c>
      <c r="DD8">
        <v>322</v>
      </c>
      <c r="DE8">
        <v>21</v>
      </c>
      <c r="DF8" t="s">
        <v>300</v>
      </c>
      <c r="DG8">
        <v>2</v>
      </c>
      <c r="DH8">
        <v>100</v>
      </c>
      <c r="DJ8">
        <v>0</v>
      </c>
      <c r="DK8">
        <v>0</v>
      </c>
      <c r="DM8">
        <v>0</v>
      </c>
      <c r="DN8">
        <v>0</v>
      </c>
      <c r="DO8">
        <v>0</v>
      </c>
      <c r="DP8">
        <v>200</v>
      </c>
      <c r="DQ8">
        <v>10</v>
      </c>
      <c r="DR8">
        <v>0</v>
      </c>
      <c r="DS8">
        <v>0</v>
      </c>
      <c r="DT8">
        <v>94</v>
      </c>
      <c r="DU8">
        <v>48</v>
      </c>
      <c r="DV8">
        <v>61</v>
      </c>
      <c r="DW8">
        <v>108</v>
      </c>
      <c r="DX8">
        <v>39.799999999999997</v>
      </c>
      <c r="DY8">
        <v>0</v>
      </c>
      <c r="DZ8">
        <v>0</v>
      </c>
      <c r="EA8">
        <v>1</v>
      </c>
      <c r="EB8">
        <v>8</v>
      </c>
      <c r="EC8">
        <v>100</v>
      </c>
      <c r="ED8">
        <v>60</v>
      </c>
      <c r="EE8">
        <v>6.7</v>
      </c>
      <c r="EF8">
        <v>60</v>
      </c>
      <c r="EG8">
        <v>20</v>
      </c>
      <c r="EH8">
        <v>100</v>
      </c>
      <c r="EI8">
        <v>0</v>
      </c>
      <c r="EJ8">
        <v>0</v>
      </c>
      <c r="EK8">
        <v>0.7</v>
      </c>
      <c r="EL8">
        <v>6.9</v>
      </c>
      <c r="EM8">
        <v>12</v>
      </c>
      <c r="EN8" t="s">
        <v>144</v>
      </c>
      <c r="EO8" t="s">
        <v>144</v>
      </c>
      <c r="EP8">
        <v>0</v>
      </c>
      <c r="EQ8">
        <v>1.65</v>
      </c>
      <c r="ER8">
        <v>150.55000000000001</v>
      </c>
      <c r="EV8">
        <v>98</v>
      </c>
      <c r="EW8">
        <v>49</v>
      </c>
      <c r="EX8">
        <v>65</v>
      </c>
      <c r="EY8">
        <v>106</v>
      </c>
      <c r="EZ8">
        <v>7</v>
      </c>
      <c r="FA8" t="s">
        <v>144</v>
      </c>
      <c r="FB8">
        <v>0</v>
      </c>
      <c r="FC8">
        <v>2.78</v>
      </c>
      <c r="FD8">
        <v>112.98</v>
      </c>
      <c r="FH8">
        <v>95</v>
      </c>
      <c r="FI8">
        <v>45</v>
      </c>
      <c r="FJ8">
        <v>63</v>
      </c>
      <c r="FK8">
        <v>106</v>
      </c>
      <c r="FL8">
        <v>6</v>
      </c>
      <c r="FM8" t="s">
        <v>144</v>
      </c>
      <c r="FN8">
        <v>0</v>
      </c>
      <c r="FP8">
        <v>130.15</v>
      </c>
      <c r="FT8">
        <v>92</v>
      </c>
      <c r="FU8">
        <v>46</v>
      </c>
      <c r="FV8">
        <v>61</v>
      </c>
      <c r="FW8">
        <v>105</v>
      </c>
      <c r="FX8">
        <v>7.2</v>
      </c>
      <c r="GD8">
        <v>8</v>
      </c>
      <c r="GE8">
        <v>0</v>
      </c>
      <c r="GF8">
        <v>2.0499999999999998</v>
      </c>
      <c r="GG8">
        <v>125.21</v>
      </c>
      <c r="GK8">
        <v>102</v>
      </c>
      <c r="GL8">
        <v>50</v>
      </c>
      <c r="GM8">
        <v>65</v>
      </c>
      <c r="GN8">
        <v>103</v>
      </c>
      <c r="GO8">
        <v>6.8</v>
      </c>
      <c r="GP8">
        <v>4</v>
      </c>
      <c r="GQ8">
        <v>0</v>
      </c>
      <c r="GR8">
        <v>2.15</v>
      </c>
      <c r="GS8">
        <v>122.02</v>
      </c>
      <c r="GW8">
        <v>98</v>
      </c>
      <c r="GX8">
        <v>49</v>
      </c>
      <c r="GY8">
        <v>64</v>
      </c>
      <c r="GZ8">
        <v>101</v>
      </c>
      <c r="HA8">
        <v>6.2</v>
      </c>
      <c r="HB8">
        <v>4</v>
      </c>
      <c r="HC8">
        <v>0</v>
      </c>
      <c r="HD8">
        <v>1.8</v>
      </c>
      <c r="HE8">
        <v>131.30000000000001</v>
      </c>
      <c r="HL8">
        <f t="shared" si="2"/>
        <v>-37.570000000000007</v>
      </c>
      <c r="HM8" s="16">
        <f t="shared" si="3"/>
        <v>-0.24955164397210233</v>
      </c>
      <c r="HN8">
        <f t="shared" si="4"/>
        <v>-4.9400000000000119</v>
      </c>
      <c r="HO8" s="16">
        <f t="shared" si="5"/>
        <v>-3.7956204379562132E-2</v>
      </c>
      <c r="HP8" s="26">
        <f t="shared" si="6"/>
        <v>32.629999999999995</v>
      </c>
      <c r="HR8" s="16">
        <f>HQ8/FP8</f>
        <v>0</v>
      </c>
      <c r="HS8">
        <f>HE8-GG8</f>
        <v>6.0900000000000176</v>
      </c>
      <c r="HT8">
        <f>EZ8-EE8</f>
        <v>0.29999999999999982</v>
      </c>
      <c r="HU8" s="28">
        <f>(HT8/EE8)*100</f>
        <v>4.4776119402985044</v>
      </c>
      <c r="HV8">
        <f>FX8-FL8</f>
        <v>1.2000000000000002</v>
      </c>
      <c r="HW8" s="29">
        <f>(HV8/FL8)*100</f>
        <v>20.000000000000004</v>
      </c>
    </row>
    <row r="9" spans="1:255" s="17" customFormat="1" x14ac:dyDescent="0.35">
      <c r="A9" t="s">
        <v>326</v>
      </c>
      <c r="B9" t="s">
        <v>327</v>
      </c>
      <c r="C9" s="3">
        <v>17542</v>
      </c>
      <c r="D9">
        <v>75</v>
      </c>
      <c r="E9">
        <v>58</v>
      </c>
      <c r="F9">
        <v>165</v>
      </c>
      <c r="G9">
        <f t="shared" si="0"/>
        <v>1.65</v>
      </c>
      <c r="H9">
        <f t="shared" si="1"/>
        <v>21.30394857667585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/>
      <c r="AB9">
        <v>0</v>
      </c>
      <c r="AC9">
        <v>0</v>
      </c>
      <c r="AD9">
        <v>0</v>
      </c>
      <c r="AE9">
        <v>0</v>
      </c>
      <c r="AF9"/>
      <c r="AG9"/>
      <c r="AH9"/>
      <c r="AI9"/>
      <c r="AJ9"/>
      <c r="AK9" s="3">
        <v>45144</v>
      </c>
      <c r="AL9" t="s">
        <v>328</v>
      </c>
      <c r="AM9">
        <v>2</v>
      </c>
      <c r="AN9">
        <v>1</v>
      </c>
      <c r="AO9">
        <v>0</v>
      </c>
      <c r="AP9">
        <v>0</v>
      </c>
      <c r="AQ9">
        <v>0</v>
      </c>
      <c r="AR9">
        <v>0</v>
      </c>
      <c r="AS9">
        <v>38</v>
      </c>
      <c r="AT9">
        <v>7</v>
      </c>
      <c r="AU9">
        <v>1</v>
      </c>
      <c r="AV9">
        <v>2</v>
      </c>
      <c r="AW9">
        <v>3</v>
      </c>
      <c r="AX9">
        <v>0</v>
      </c>
      <c r="AY9">
        <v>1</v>
      </c>
      <c r="AZ9">
        <v>0</v>
      </c>
      <c r="BA9"/>
      <c r="BB9">
        <v>8.1</v>
      </c>
      <c r="BC9">
        <v>14.2</v>
      </c>
      <c r="BD9">
        <v>181</v>
      </c>
      <c r="BE9">
        <v>65</v>
      </c>
      <c r="BF9">
        <v>2.6</v>
      </c>
      <c r="BG9">
        <v>39</v>
      </c>
      <c r="BH9">
        <v>135</v>
      </c>
      <c r="BI9">
        <v>105</v>
      </c>
      <c r="BJ9">
        <v>22</v>
      </c>
      <c r="BK9">
        <v>111</v>
      </c>
      <c r="BL9">
        <v>0.02</v>
      </c>
      <c r="BM9" t="s">
        <v>144</v>
      </c>
      <c r="BN9">
        <v>7.46</v>
      </c>
      <c r="BO9">
        <v>93</v>
      </c>
      <c r="BP9">
        <v>33</v>
      </c>
      <c r="BQ9">
        <v>24</v>
      </c>
      <c r="BR9">
        <v>0.9</v>
      </c>
      <c r="BS9">
        <v>100</v>
      </c>
      <c r="BT9" t="s">
        <v>144</v>
      </c>
      <c r="BU9">
        <v>28</v>
      </c>
      <c r="BV9">
        <v>23</v>
      </c>
      <c r="BW9">
        <v>392</v>
      </c>
      <c r="BX9">
        <v>168</v>
      </c>
      <c r="BY9" s="3">
        <v>45145</v>
      </c>
      <c r="BZ9">
        <v>18</v>
      </c>
      <c r="CA9">
        <v>58</v>
      </c>
      <c r="CB9">
        <v>8</v>
      </c>
      <c r="CC9">
        <v>1</v>
      </c>
      <c r="CD9">
        <v>2</v>
      </c>
      <c r="CE9">
        <v>3</v>
      </c>
      <c r="CF9">
        <v>0</v>
      </c>
      <c r="CG9">
        <v>2</v>
      </c>
      <c r="CH9">
        <v>0</v>
      </c>
      <c r="CI9">
        <v>10.6</v>
      </c>
      <c r="CJ9">
        <v>13.3</v>
      </c>
      <c r="CK9">
        <v>162</v>
      </c>
      <c r="CL9">
        <v>53</v>
      </c>
      <c r="CM9">
        <v>2.7</v>
      </c>
      <c r="CN9">
        <v>36</v>
      </c>
      <c r="CO9">
        <v>135</v>
      </c>
      <c r="CP9">
        <v>105</v>
      </c>
      <c r="CQ9">
        <v>40</v>
      </c>
      <c r="CR9"/>
      <c r="CS9">
        <v>0.3</v>
      </c>
      <c r="CT9"/>
      <c r="CU9">
        <v>7.4</v>
      </c>
      <c r="CV9">
        <v>93</v>
      </c>
      <c r="CW9">
        <v>33</v>
      </c>
      <c r="CX9">
        <v>24</v>
      </c>
      <c r="CY9">
        <v>0.9</v>
      </c>
      <c r="CZ9"/>
      <c r="DA9"/>
      <c r="DB9">
        <v>25</v>
      </c>
      <c r="DC9">
        <v>19</v>
      </c>
      <c r="DD9">
        <v>378</v>
      </c>
      <c r="DE9">
        <v>145</v>
      </c>
      <c r="DF9">
        <v>2</v>
      </c>
      <c r="DG9">
        <v>1</v>
      </c>
      <c r="DH9">
        <v>500</v>
      </c>
      <c r="DI9">
        <v>2000</v>
      </c>
      <c r="DJ9">
        <v>1</v>
      </c>
      <c r="DK9">
        <v>0</v>
      </c>
      <c r="DL9"/>
      <c r="DM9">
        <v>0</v>
      </c>
      <c r="DN9">
        <v>0</v>
      </c>
      <c r="DO9">
        <v>0</v>
      </c>
      <c r="DP9">
        <v>30</v>
      </c>
      <c r="DQ9">
        <v>0</v>
      </c>
      <c r="DR9">
        <v>0</v>
      </c>
      <c r="DS9">
        <v>0</v>
      </c>
      <c r="DT9">
        <v>119</v>
      </c>
      <c r="DU9">
        <v>54</v>
      </c>
      <c r="DV9">
        <v>70</v>
      </c>
      <c r="DW9">
        <v>54</v>
      </c>
      <c r="DX9">
        <v>36.799999999999997</v>
      </c>
      <c r="DY9">
        <v>0</v>
      </c>
      <c r="DZ9">
        <v>0</v>
      </c>
      <c r="EA9">
        <v>1</v>
      </c>
      <c r="EB9">
        <v>8</v>
      </c>
      <c r="EC9">
        <v>30</v>
      </c>
      <c r="ED9">
        <v>60</v>
      </c>
      <c r="EE9"/>
      <c r="EF9"/>
      <c r="EG9"/>
      <c r="EH9"/>
      <c r="EI9"/>
      <c r="EJ9"/>
      <c r="EK9"/>
      <c r="EL9"/>
      <c r="EM9"/>
      <c r="EN9"/>
      <c r="EO9"/>
      <c r="EP9">
        <v>3</v>
      </c>
      <c r="EQ9">
        <v>5.5</v>
      </c>
      <c r="ER9">
        <v>16.670000000000002</v>
      </c>
      <c r="ES9">
        <v>15.7</v>
      </c>
      <c r="ET9">
        <v>7.2</v>
      </c>
      <c r="EU9">
        <v>121.1</v>
      </c>
      <c r="EV9">
        <v>138</v>
      </c>
      <c r="EW9">
        <v>72</v>
      </c>
      <c r="EX9">
        <v>91</v>
      </c>
      <c r="EY9">
        <v>72</v>
      </c>
      <c r="EZ9"/>
      <c r="FA9"/>
      <c r="FB9">
        <v>3</v>
      </c>
      <c r="FC9">
        <v>5.3</v>
      </c>
      <c r="FD9">
        <v>10.83</v>
      </c>
      <c r="FE9"/>
      <c r="FF9"/>
      <c r="FG9"/>
      <c r="FH9">
        <v>148</v>
      </c>
      <c r="FI9">
        <v>66</v>
      </c>
      <c r="FJ9">
        <v>90</v>
      </c>
      <c r="FK9">
        <v>69</v>
      </c>
      <c r="FL9"/>
      <c r="FM9"/>
      <c r="FN9">
        <v>3</v>
      </c>
      <c r="FO9">
        <v>6.1</v>
      </c>
      <c r="FP9">
        <v>11.27</v>
      </c>
      <c r="FQ9"/>
      <c r="FR9"/>
      <c r="FS9"/>
      <c r="FT9">
        <v>149</v>
      </c>
      <c r="FU9">
        <v>61</v>
      </c>
      <c r="FV9">
        <v>82</v>
      </c>
      <c r="FW9">
        <v>70</v>
      </c>
      <c r="FX9"/>
      <c r="FY9"/>
      <c r="FZ9"/>
      <c r="GA9"/>
      <c r="GB9"/>
      <c r="GC9"/>
      <c r="GD9"/>
      <c r="GE9">
        <v>3</v>
      </c>
      <c r="GF9">
        <v>5.8</v>
      </c>
      <c r="GG9">
        <v>9.85</v>
      </c>
      <c r="GH9"/>
      <c r="GI9"/>
      <c r="GJ9"/>
      <c r="GK9">
        <v>139</v>
      </c>
      <c r="GL9">
        <v>86</v>
      </c>
      <c r="GM9">
        <v>102</v>
      </c>
      <c r="GN9">
        <v>70</v>
      </c>
      <c r="GO9"/>
      <c r="GP9"/>
      <c r="GQ9">
        <v>3</v>
      </c>
      <c r="GR9">
        <v>5.0999999999999996</v>
      </c>
      <c r="GS9">
        <v>8.75</v>
      </c>
      <c r="GT9"/>
      <c r="GU9"/>
      <c r="GV9"/>
      <c r="GW9">
        <v>135</v>
      </c>
      <c r="GX9">
        <v>57</v>
      </c>
      <c r="GY9">
        <v>80</v>
      </c>
      <c r="GZ9">
        <v>61</v>
      </c>
      <c r="HA9"/>
      <c r="HB9"/>
      <c r="HC9">
        <v>3</v>
      </c>
      <c r="HD9">
        <v>5.4</v>
      </c>
      <c r="HE9">
        <v>9.39</v>
      </c>
      <c r="HF9"/>
      <c r="HG9"/>
      <c r="HH9"/>
      <c r="HI9"/>
      <c r="HJ9"/>
      <c r="HK9"/>
      <c r="HL9">
        <f t="shared" si="2"/>
        <v>-5.8400000000000016</v>
      </c>
      <c r="HM9" s="16">
        <f t="shared" si="3"/>
        <v>-0.3503299340131974</v>
      </c>
      <c r="HN9">
        <f t="shared" si="4"/>
        <v>-1.42</v>
      </c>
      <c r="HO9" s="16">
        <f t="shared" si="5"/>
        <v>-0.12599822537710736</v>
      </c>
      <c r="HP9" s="26">
        <f t="shared" si="6"/>
        <v>4.4200000000000017</v>
      </c>
      <c r="HQ9">
        <f>HE9-FP9</f>
        <v>-1.879999999999999</v>
      </c>
      <c r="HR9" s="16">
        <f>HQ9/FP9</f>
        <v>-0.16681455190771952</v>
      </c>
      <c r="HS9">
        <f>HE9-GG9</f>
        <v>-0.45999999999999908</v>
      </c>
      <c r="HT9"/>
      <c r="HU9" s="28"/>
      <c r="HV9"/>
      <c r="HW9" s="28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</row>
    <row r="10" spans="1:255" s="17" customFormat="1" x14ac:dyDescent="0.35">
      <c r="A10" t="s">
        <v>290</v>
      </c>
      <c r="B10" t="s">
        <v>291</v>
      </c>
      <c r="C10" s="3">
        <v>17227</v>
      </c>
      <c r="D10">
        <v>76</v>
      </c>
      <c r="E10">
        <v>64</v>
      </c>
      <c r="F10">
        <v>159</v>
      </c>
      <c r="G10">
        <f t="shared" si="0"/>
        <v>1.59</v>
      </c>
      <c r="H10">
        <f t="shared" si="1"/>
        <v>25.315454293738377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0</v>
      </c>
      <c r="AF10" t="s">
        <v>144</v>
      </c>
      <c r="AG10"/>
      <c r="AH10"/>
      <c r="AI10"/>
      <c r="AJ10"/>
      <c r="AK10" s="3">
        <v>45147</v>
      </c>
      <c r="AL10" t="s">
        <v>285</v>
      </c>
      <c r="AM10">
        <v>2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44</v>
      </c>
      <c r="AT10">
        <v>4</v>
      </c>
      <c r="AU10">
        <v>0</v>
      </c>
      <c r="AV10">
        <v>3</v>
      </c>
      <c r="AW10">
        <v>0</v>
      </c>
      <c r="AX10">
        <v>0</v>
      </c>
      <c r="AY10">
        <v>0</v>
      </c>
      <c r="AZ10">
        <v>1</v>
      </c>
      <c r="BA10"/>
      <c r="BB10">
        <v>269</v>
      </c>
      <c r="BC10">
        <v>9</v>
      </c>
      <c r="BD10">
        <v>144</v>
      </c>
      <c r="BE10">
        <v>62</v>
      </c>
      <c r="BF10">
        <v>4.9000000000000004</v>
      </c>
      <c r="BG10">
        <v>42</v>
      </c>
      <c r="BH10">
        <v>133</v>
      </c>
      <c r="BI10">
        <v>103</v>
      </c>
      <c r="BJ10">
        <v>15</v>
      </c>
      <c r="BK10">
        <v>197</v>
      </c>
      <c r="BL10" t="s">
        <v>144</v>
      </c>
      <c r="BM10" t="s">
        <v>144</v>
      </c>
      <c r="BN10">
        <v>7.52</v>
      </c>
      <c r="BO10">
        <v>75</v>
      </c>
      <c r="BP10">
        <v>27</v>
      </c>
      <c r="BQ10">
        <v>22</v>
      </c>
      <c r="BR10">
        <v>4</v>
      </c>
      <c r="BS10">
        <v>60</v>
      </c>
      <c r="BT10" t="s">
        <v>144</v>
      </c>
      <c r="BU10">
        <v>108</v>
      </c>
      <c r="BV10">
        <v>46</v>
      </c>
      <c r="BW10">
        <v>6939</v>
      </c>
      <c r="BX10" t="s">
        <v>144</v>
      </c>
      <c r="BY10" s="3">
        <v>45061</v>
      </c>
      <c r="BZ10"/>
      <c r="CA10">
        <v>64</v>
      </c>
      <c r="CB10">
        <v>6</v>
      </c>
      <c r="CC10">
        <v>4</v>
      </c>
      <c r="CD10">
        <v>0</v>
      </c>
      <c r="CE10">
        <v>0</v>
      </c>
      <c r="CF10">
        <v>0</v>
      </c>
      <c r="CG10">
        <v>0</v>
      </c>
      <c r="CH10">
        <v>2</v>
      </c>
      <c r="CI10">
        <v>0.42</v>
      </c>
      <c r="CJ10">
        <v>6.9</v>
      </c>
      <c r="CK10">
        <v>55</v>
      </c>
      <c r="CL10">
        <v>49</v>
      </c>
      <c r="CM10">
        <v>6.6</v>
      </c>
      <c r="CN10">
        <v>70</v>
      </c>
      <c r="CO10">
        <v>137</v>
      </c>
      <c r="CP10">
        <v>109</v>
      </c>
      <c r="CQ10">
        <v>16</v>
      </c>
      <c r="CR10" t="s">
        <v>144</v>
      </c>
      <c r="CS10" t="s">
        <v>144</v>
      </c>
      <c r="CT10" t="s">
        <v>144</v>
      </c>
      <c r="CU10">
        <v>7.44</v>
      </c>
      <c r="CV10">
        <v>107</v>
      </c>
      <c r="CW10">
        <v>24</v>
      </c>
      <c r="CX10">
        <v>16.399999999999999</v>
      </c>
      <c r="CY10">
        <v>1.2</v>
      </c>
      <c r="CZ10" t="s">
        <v>144</v>
      </c>
      <c r="DA10" t="s">
        <v>144</v>
      </c>
      <c r="DB10" t="s">
        <v>144</v>
      </c>
      <c r="DC10" t="s">
        <v>144</v>
      </c>
      <c r="DD10">
        <v>2369</v>
      </c>
      <c r="DE10" t="s">
        <v>144</v>
      </c>
      <c r="DF10">
        <v>1</v>
      </c>
      <c r="DG10">
        <v>1</v>
      </c>
      <c r="DH10">
        <v>500</v>
      </c>
      <c r="DI10">
        <v>1500</v>
      </c>
      <c r="DJ10">
        <v>1</v>
      </c>
      <c r="DK10">
        <v>0</v>
      </c>
      <c r="DL10">
        <v>0.8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126</v>
      </c>
      <c r="DU10">
        <v>47</v>
      </c>
      <c r="DV10">
        <v>67</v>
      </c>
      <c r="DW10">
        <v>121</v>
      </c>
      <c r="DX10">
        <v>38</v>
      </c>
      <c r="DY10">
        <v>1</v>
      </c>
      <c r="DZ10">
        <v>0</v>
      </c>
      <c r="EA10">
        <v>0</v>
      </c>
      <c r="EB10">
        <v>0</v>
      </c>
      <c r="EC10"/>
      <c r="ED10">
        <v>3</v>
      </c>
      <c r="EE10">
        <v>6.1</v>
      </c>
      <c r="EF10">
        <v>50</v>
      </c>
      <c r="EG10">
        <v>12</v>
      </c>
      <c r="EH10">
        <v>100</v>
      </c>
      <c r="EI10">
        <v>0</v>
      </c>
      <c r="EJ10">
        <v>0</v>
      </c>
      <c r="EK10">
        <v>0.6</v>
      </c>
      <c r="EL10">
        <v>6.3</v>
      </c>
      <c r="EM10">
        <v>15</v>
      </c>
      <c r="EN10" t="s">
        <v>144</v>
      </c>
      <c r="EO10">
        <v>6</v>
      </c>
      <c r="EP10">
        <v>1</v>
      </c>
      <c r="EQ10">
        <v>2.44</v>
      </c>
      <c r="ER10">
        <v>23.25</v>
      </c>
      <c r="ES10">
        <v>3.9</v>
      </c>
      <c r="ET10">
        <v>14.86</v>
      </c>
      <c r="EU10">
        <v>35.74</v>
      </c>
      <c r="EV10">
        <v>130</v>
      </c>
      <c r="EW10">
        <v>45</v>
      </c>
      <c r="EX10">
        <v>68</v>
      </c>
      <c r="EY10">
        <v>115</v>
      </c>
      <c r="EZ10">
        <v>7</v>
      </c>
      <c r="FA10">
        <v>10</v>
      </c>
      <c r="FB10">
        <v>1</v>
      </c>
      <c r="FC10">
        <v>2.62</v>
      </c>
      <c r="FD10">
        <v>17.03</v>
      </c>
      <c r="FE10">
        <v>3.5</v>
      </c>
      <c r="FF10">
        <v>11.57</v>
      </c>
      <c r="FG10">
        <v>27.4</v>
      </c>
      <c r="FH10">
        <v>122</v>
      </c>
      <c r="FI10">
        <v>41</v>
      </c>
      <c r="FJ10">
        <v>62</v>
      </c>
      <c r="FK10">
        <v>118</v>
      </c>
      <c r="FL10">
        <v>6.3</v>
      </c>
      <c r="FM10">
        <v>12</v>
      </c>
      <c r="FN10">
        <v>1</v>
      </c>
      <c r="FO10">
        <v>2.59</v>
      </c>
      <c r="FP10">
        <v>19.600000000000001</v>
      </c>
      <c r="FQ10"/>
      <c r="FR10"/>
      <c r="FS10"/>
      <c r="FT10">
        <v>127</v>
      </c>
      <c r="FU10">
        <v>43</v>
      </c>
      <c r="FV10">
        <v>66</v>
      </c>
      <c r="FW10">
        <v>116</v>
      </c>
      <c r="FX10">
        <v>7</v>
      </c>
      <c r="FY10">
        <v>50</v>
      </c>
      <c r="FZ10">
        <v>0.8</v>
      </c>
      <c r="GA10">
        <v>5.9</v>
      </c>
      <c r="GB10">
        <v>10</v>
      </c>
      <c r="GC10">
        <v>100</v>
      </c>
      <c r="GD10">
        <v>10</v>
      </c>
      <c r="GE10">
        <v>1</v>
      </c>
      <c r="GF10">
        <v>2.5499999999999998</v>
      </c>
      <c r="GG10">
        <v>19.309999999999999</v>
      </c>
      <c r="GH10"/>
      <c r="GI10"/>
      <c r="GJ10"/>
      <c r="GK10">
        <v>124</v>
      </c>
      <c r="GL10">
        <v>46</v>
      </c>
      <c r="GM10">
        <v>68</v>
      </c>
      <c r="GN10">
        <v>114</v>
      </c>
      <c r="GO10">
        <v>7</v>
      </c>
      <c r="GP10">
        <v>10</v>
      </c>
      <c r="GQ10">
        <v>1</v>
      </c>
      <c r="GR10">
        <v>2.02</v>
      </c>
      <c r="GS10">
        <v>22.56</v>
      </c>
      <c r="GT10"/>
      <c r="GU10"/>
      <c r="GV10"/>
      <c r="GW10">
        <v>123</v>
      </c>
      <c r="GX10">
        <v>47</v>
      </c>
      <c r="GY10">
        <v>69</v>
      </c>
      <c r="GZ10">
        <v>115</v>
      </c>
      <c r="HA10">
        <v>6.1</v>
      </c>
      <c r="HB10">
        <v>18</v>
      </c>
      <c r="HC10">
        <v>1</v>
      </c>
      <c r="HD10">
        <v>2.77</v>
      </c>
      <c r="HE10">
        <v>18.010000000000002</v>
      </c>
      <c r="HF10"/>
      <c r="HG10"/>
      <c r="HH10"/>
      <c r="HI10">
        <v>0</v>
      </c>
      <c r="HJ10">
        <v>1</v>
      </c>
      <c r="HK10" s="3">
        <v>45065</v>
      </c>
      <c r="HL10">
        <f t="shared" si="2"/>
        <v>-6.2199999999999989</v>
      </c>
      <c r="HM10" s="16">
        <f t="shared" si="3"/>
        <v>-0.26752688172043004</v>
      </c>
      <c r="HN10">
        <f t="shared" si="4"/>
        <v>-0.2900000000000027</v>
      </c>
      <c r="HO10" s="16">
        <f t="shared" si="5"/>
        <v>-1.4795918367347076E-2</v>
      </c>
      <c r="HP10" s="26">
        <f t="shared" si="6"/>
        <v>5.9299999999999962</v>
      </c>
      <c r="HQ10">
        <f>HE10-FP10</f>
        <v>-1.5899999999999999</v>
      </c>
      <c r="HR10" s="16">
        <f>HQ10/FP10</f>
        <v>-8.1122448979591824E-2</v>
      </c>
      <c r="HS10">
        <f>HE10-GG10</f>
        <v>-1.2999999999999972</v>
      </c>
      <c r="HT10">
        <f t="shared" ref="HT10:HT17" si="7">EZ10-EE10</f>
        <v>0.90000000000000036</v>
      </c>
      <c r="HU10" s="28">
        <f>(HT10/EE10)*100</f>
        <v>14.754098360655746</v>
      </c>
      <c r="HV10">
        <f>FX10-FL10</f>
        <v>0.70000000000000018</v>
      </c>
      <c r="HW10" s="28">
        <f>(HV10/FL10)*100</f>
        <v>11.111111111111114</v>
      </c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</row>
    <row r="11" spans="1:255" x14ac:dyDescent="0.35">
      <c r="A11" t="s">
        <v>326</v>
      </c>
      <c r="B11" t="s">
        <v>327</v>
      </c>
      <c r="C11" s="3">
        <v>17542</v>
      </c>
      <c r="D11">
        <v>75</v>
      </c>
      <c r="E11">
        <v>58</v>
      </c>
      <c r="F11">
        <v>165</v>
      </c>
      <c r="G11">
        <f t="shared" si="0"/>
        <v>1.65</v>
      </c>
      <c r="H11">
        <f t="shared" si="1"/>
        <v>21.30394857667585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B11">
        <v>0</v>
      </c>
      <c r="AC11">
        <v>0</v>
      </c>
      <c r="AD11">
        <v>0</v>
      </c>
      <c r="AE11">
        <v>0</v>
      </c>
      <c r="AK11" s="3">
        <v>45144</v>
      </c>
      <c r="AL11" t="s">
        <v>328</v>
      </c>
      <c r="AM11">
        <v>2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38</v>
      </c>
      <c r="AT11">
        <v>7</v>
      </c>
      <c r="AU11">
        <v>1</v>
      </c>
      <c r="AV11">
        <v>2</v>
      </c>
      <c r="AW11">
        <v>3</v>
      </c>
      <c r="AX11">
        <v>0</v>
      </c>
      <c r="AY11">
        <v>1</v>
      </c>
      <c r="AZ11">
        <v>0</v>
      </c>
      <c r="BB11">
        <v>8.1</v>
      </c>
      <c r="BC11">
        <v>14.2</v>
      </c>
      <c r="BD11">
        <v>181</v>
      </c>
      <c r="BE11">
        <v>65</v>
      </c>
      <c r="BF11">
        <v>2.6</v>
      </c>
      <c r="BG11">
        <v>39</v>
      </c>
      <c r="BH11">
        <v>135</v>
      </c>
      <c r="BI11">
        <v>105</v>
      </c>
      <c r="BJ11">
        <v>22</v>
      </c>
      <c r="BK11">
        <v>111</v>
      </c>
      <c r="BL11">
        <v>0.02</v>
      </c>
      <c r="BM11" t="s">
        <v>144</v>
      </c>
      <c r="BN11">
        <v>7.46</v>
      </c>
      <c r="BO11">
        <v>93</v>
      </c>
      <c r="BP11">
        <v>33</v>
      </c>
      <c r="BQ11">
        <v>24</v>
      </c>
      <c r="BR11">
        <v>0.9</v>
      </c>
      <c r="BS11">
        <v>100</v>
      </c>
      <c r="BT11" t="s">
        <v>144</v>
      </c>
      <c r="BU11">
        <v>28</v>
      </c>
      <c r="BV11">
        <v>23</v>
      </c>
      <c r="BW11">
        <v>392</v>
      </c>
      <c r="BX11">
        <v>168</v>
      </c>
      <c r="BY11" s="3">
        <v>45145</v>
      </c>
      <c r="BZ11">
        <v>18</v>
      </c>
      <c r="CA11">
        <v>58</v>
      </c>
      <c r="CB11">
        <v>8</v>
      </c>
      <c r="CC11">
        <v>1</v>
      </c>
      <c r="CD11">
        <v>2</v>
      </c>
      <c r="CE11">
        <v>3</v>
      </c>
      <c r="CF11">
        <v>0</v>
      </c>
      <c r="CG11">
        <v>2</v>
      </c>
      <c r="CH11">
        <v>0</v>
      </c>
      <c r="CI11">
        <v>10.6</v>
      </c>
      <c r="CJ11">
        <v>13.3</v>
      </c>
      <c r="CK11">
        <v>162</v>
      </c>
      <c r="CL11">
        <v>53</v>
      </c>
      <c r="CM11">
        <v>2.7</v>
      </c>
      <c r="CN11">
        <v>36</v>
      </c>
      <c r="CO11">
        <v>135</v>
      </c>
      <c r="CP11">
        <v>105</v>
      </c>
      <c r="CQ11">
        <v>40</v>
      </c>
      <c r="CS11">
        <v>0.3</v>
      </c>
      <c r="CU11">
        <v>7.4</v>
      </c>
      <c r="CV11">
        <v>93</v>
      </c>
      <c r="CW11">
        <v>33</v>
      </c>
      <c r="CX11">
        <v>24</v>
      </c>
      <c r="CY11">
        <v>0.9</v>
      </c>
      <c r="DB11">
        <v>25</v>
      </c>
      <c r="DC11">
        <v>19</v>
      </c>
      <c r="DD11">
        <v>378</v>
      </c>
      <c r="DE11">
        <v>145</v>
      </c>
      <c r="DF11">
        <v>2</v>
      </c>
      <c r="DG11">
        <v>2</v>
      </c>
      <c r="DH11">
        <v>100</v>
      </c>
      <c r="DI11">
        <v>2500</v>
      </c>
      <c r="DJ11">
        <v>1</v>
      </c>
      <c r="DK11">
        <v>0</v>
      </c>
      <c r="DM11">
        <v>0</v>
      </c>
      <c r="DN11">
        <v>0</v>
      </c>
      <c r="DO11">
        <v>0</v>
      </c>
      <c r="DP11">
        <v>30</v>
      </c>
      <c r="DQ11">
        <v>0</v>
      </c>
      <c r="DR11">
        <v>0</v>
      </c>
      <c r="DS11">
        <v>0</v>
      </c>
      <c r="DT11">
        <v>135</v>
      </c>
      <c r="DU11">
        <v>57</v>
      </c>
      <c r="DV11">
        <v>80</v>
      </c>
      <c r="DW11">
        <v>56</v>
      </c>
      <c r="DX11">
        <v>36.799999999999997</v>
      </c>
      <c r="DY11">
        <v>0</v>
      </c>
      <c r="DZ11">
        <v>0</v>
      </c>
      <c r="EA11">
        <v>1</v>
      </c>
      <c r="EB11">
        <v>8</v>
      </c>
      <c r="EC11">
        <v>30</v>
      </c>
      <c r="ED11">
        <v>60</v>
      </c>
      <c r="EP11">
        <v>3</v>
      </c>
      <c r="EQ11">
        <v>5.5</v>
      </c>
      <c r="ER11">
        <v>10.32</v>
      </c>
      <c r="ES11">
        <v>3.2</v>
      </c>
      <c r="EV11">
        <v>142</v>
      </c>
      <c r="EW11">
        <v>90</v>
      </c>
      <c r="EX11">
        <v>98</v>
      </c>
      <c r="EY11">
        <v>71</v>
      </c>
      <c r="FB11">
        <v>3</v>
      </c>
      <c r="FC11">
        <v>5.4</v>
      </c>
      <c r="FD11">
        <v>10.55</v>
      </c>
      <c r="FH11">
        <v>140</v>
      </c>
      <c r="FI11">
        <v>70</v>
      </c>
      <c r="FJ11">
        <v>92</v>
      </c>
      <c r="FK11">
        <v>69</v>
      </c>
      <c r="FN11">
        <v>3</v>
      </c>
      <c r="FO11">
        <v>5.6</v>
      </c>
      <c r="FP11">
        <v>10.16</v>
      </c>
      <c r="FT11">
        <v>138</v>
      </c>
      <c r="FU11">
        <v>64</v>
      </c>
      <c r="FV11">
        <v>84</v>
      </c>
      <c r="FW11">
        <v>68</v>
      </c>
      <c r="GE11">
        <v>3</v>
      </c>
      <c r="GF11">
        <v>4.5</v>
      </c>
      <c r="GG11">
        <v>10.47</v>
      </c>
      <c r="GK11">
        <v>139</v>
      </c>
      <c r="GL11">
        <v>62</v>
      </c>
      <c r="GM11">
        <v>83</v>
      </c>
      <c r="GN11">
        <v>63</v>
      </c>
      <c r="GQ11">
        <v>3</v>
      </c>
      <c r="GR11">
        <v>4.8</v>
      </c>
      <c r="GS11">
        <v>11.47</v>
      </c>
      <c r="GW11">
        <v>129</v>
      </c>
      <c r="GX11">
        <v>55</v>
      </c>
      <c r="GY11">
        <v>77</v>
      </c>
      <c r="GZ11">
        <v>58</v>
      </c>
      <c r="HC11">
        <v>3</v>
      </c>
      <c r="HD11">
        <v>5.5</v>
      </c>
      <c r="HE11">
        <v>11.38</v>
      </c>
      <c r="HL11">
        <f t="shared" si="2"/>
        <v>0.23000000000000043</v>
      </c>
      <c r="HM11" s="16">
        <f t="shared" si="3"/>
        <v>2.2286821705426396E-2</v>
      </c>
      <c r="HN11">
        <f t="shared" si="4"/>
        <v>0.3100000000000005</v>
      </c>
      <c r="HO11" s="16">
        <f t="shared" si="5"/>
        <v>3.0511811023622097E-2</v>
      </c>
      <c r="HP11" s="26">
        <f t="shared" si="6"/>
        <v>8.0000000000000071E-2</v>
      </c>
      <c r="HR11" s="16">
        <f>HQ11/FP11</f>
        <v>0</v>
      </c>
      <c r="HS11">
        <f>HE11-GG11</f>
        <v>0.91000000000000014</v>
      </c>
      <c r="HT11">
        <f t="shared" si="7"/>
        <v>0</v>
      </c>
      <c r="HU11" s="28">
        <v>0</v>
      </c>
      <c r="HW11" s="28"/>
    </row>
    <row r="12" spans="1:255" x14ac:dyDescent="0.35">
      <c r="A12" t="s">
        <v>354</v>
      </c>
      <c r="B12" t="s">
        <v>355</v>
      </c>
      <c r="C12" s="3">
        <v>13420</v>
      </c>
      <c r="D12">
        <v>86</v>
      </c>
      <c r="E12">
        <v>51</v>
      </c>
      <c r="F12">
        <v>160</v>
      </c>
      <c r="G12">
        <f t="shared" si="0"/>
        <v>1.6</v>
      </c>
      <c r="H12">
        <f t="shared" si="1"/>
        <v>19.921874999999996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K12" s="3">
        <v>45184</v>
      </c>
      <c r="AL12" t="s">
        <v>356</v>
      </c>
      <c r="AM12">
        <v>2</v>
      </c>
      <c r="AN12">
        <v>0</v>
      </c>
      <c r="AO12">
        <v>0</v>
      </c>
      <c r="AP12">
        <v>0</v>
      </c>
      <c r="AQ12">
        <v>0</v>
      </c>
      <c r="AR12">
        <v>0</v>
      </c>
      <c r="AT12">
        <v>4</v>
      </c>
      <c r="AU12">
        <v>1</v>
      </c>
      <c r="AV12">
        <v>0</v>
      </c>
      <c r="AW12">
        <v>3</v>
      </c>
      <c r="AX12">
        <v>0</v>
      </c>
      <c r="AY12">
        <v>0</v>
      </c>
      <c r="AZ12">
        <v>0</v>
      </c>
      <c r="BB12">
        <v>12.78</v>
      </c>
      <c r="BC12">
        <v>9.1</v>
      </c>
      <c r="BD12">
        <v>311</v>
      </c>
      <c r="BE12">
        <v>58</v>
      </c>
      <c r="BF12">
        <v>5.5</v>
      </c>
      <c r="BG12">
        <v>53</v>
      </c>
      <c r="BH12">
        <v>139</v>
      </c>
      <c r="BI12">
        <v>104</v>
      </c>
      <c r="BJ12">
        <v>9</v>
      </c>
      <c r="BK12">
        <v>100</v>
      </c>
      <c r="BN12">
        <v>7.51</v>
      </c>
      <c r="BO12">
        <v>496</v>
      </c>
      <c r="BP12">
        <v>34</v>
      </c>
      <c r="BQ12">
        <v>26</v>
      </c>
      <c r="BR12">
        <v>0.6</v>
      </c>
      <c r="BS12">
        <v>100</v>
      </c>
      <c r="BT12">
        <v>146</v>
      </c>
      <c r="BU12">
        <v>25</v>
      </c>
      <c r="BV12">
        <v>9</v>
      </c>
      <c r="BW12">
        <v>436</v>
      </c>
      <c r="BX12">
        <v>121</v>
      </c>
      <c r="BY12" s="3">
        <v>45184</v>
      </c>
      <c r="BZ12">
        <v>5</v>
      </c>
      <c r="CA12">
        <v>51</v>
      </c>
      <c r="CB12">
        <v>4</v>
      </c>
      <c r="CC12">
        <v>1</v>
      </c>
      <c r="CD12">
        <v>0</v>
      </c>
      <c r="CE12">
        <v>3</v>
      </c>
      <c r="CF12">
        <v>0</v>
      </c>
      <c r="CG12">
        <v>0</v>
      </c>
      <c r="CH12">
        <v>0</v>
      </c>
      <c r="CI12">
        <v>12.78</v>
      </c>
      <c r="CJ12">
        <v>9.1</v>
      </c>
      <c r="CK12">
        <v>311</v>
      </c>
      <c r="CL12">
        <v>58</v>
      </c>
      <c r="CM12">
        <v>5.5</v>
      </c>
      <c r="CN12">
        <v>53</v>
      </c>
      <c r="CO12">
        <v>139</v>
      </c>
      <c r="CP12">
        <v>104</v>
      </c>
      <c r="CQ12">
        <v>9</v>
      </c>
      <c r="CR12">
        <v>100</v>
      </c>
      <c r="CU12">
        <v>7.51</v>
      </c>
      <c r="CV12">
        <v>496</v>
      </c>
      <c r="CW12">
        <v>34</v>
      </c>
      <c r="CX12">
        <v>26</v>
      </c>
      <c r="CY12">
        <v>0.6</v>
      </c>
      <c r="CZ12">
        <v>100</v>
      </c>
      <c r="DA12">
        <v>146</v>
      </c>
      <c r="DB12">
        <v>25</v>
      </c>
      <c r="DC12">
        <v>9</v>
      </c>
      <c r="DD12">
        <v>436</v>
      </c>
      <c r="DE12">
        <v>121</v>
      </c>
      <c r="DF12">
        <v>2</v>
      </c>
      <c r="DG12">
        <v>1</v>
      </c>
      <c r="DH12">
        <v>500</v>
      </c>
      <c r="DJ12">
        <v>0</v>
      </c>
      <c r="DK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107</v>
      </c>
      <c r="DU12">
        <v>61</v>
      </c>
      <c r="DV12">
        <v>74</v>
      </c>
      <c r="DW12">
        <v>107</v>
      </c>
      <c r="DX12">
        <v>38.6</v>
      </c>
      <c r="DY12">
        <v>0</v>
      </c>
      <c r="DZ12">
        <v>0</v>
      </c>
      <c r="EA12">
        <v>1</v>
      </c>
      <c r="EB12">
        <v>5</v>
      </c>
      <c r="EC12">
        <v>21</v>
      </c>
      <c r="ED12">
        <v>60</v>
      </c>
      <c r="EE12">
        <v>7.5</v>
      </c>
      <c r="EF12">
        <v>40</v>
      </c>
      <c r="EG12">
        <v>6</v>
      </c>
      <c r="EH12">
        <v>50</v>
      </c>
      <c r="EI12">
        <v>0</v>
      </c>
      <c r="EJ12">
        <v>0</v>
      </c>
      <c r="EK12" t="s">
        <v>144</v>
      </c>
      <c r="EL12" t="s">
        <v>144</v>
      </c>
      <c r="EM12" t="s">
        <v>144</v>
      </c>
      <c r="EN12" t="s">
        <v>144</v>
      </c>
      <c r="EO12" t="s">
        <v>144</v>
      </c>
      <c r="EP12">
        <v>3</v>
      </c>
      <c r="EQ12">
        <v>3.9</v>
      </c>
      <c r="ER12">
        <v>24.31</v>
      </c>
      <c r="ES12">
        <v>2.8</v>
      </c>
      <c r="ET12">
        <v>16.399999999999999</v>
      </c>
      <c r="EU12">
        <v>36</v>
      </c>
      <c r="EV12">
        <v>126</v>
      </c>
      <c r="EW12">
        <v>76</v>
      </c>
      <c r="EX12">
        <v>89</v>
      </c>
      <c r="EY12">
        <v>105</v>
      </c>
      <c r="EZ12">
        <v>8.1999999999999993</v>
      </c>
      <c r="FB12">
        <v>3</v>
      </c>
      <c r="FC12">
        <v>3.9</v>
      </c>
      <c r="FD12">
        <v>25.44</v>
      </c>
      <c r="FH12">
        <v>117</v>
      </c>
      <c r="FI12">
        <v>69</v>
      </c>
      <c r="FJ12">
        <v>82</v>
      </c>
      <c r="FK12">
        <v>102</v>
      </c>
      <c r="FL12">
        <v>7.2</v>
      </c>
      <c r="FN12">
        <v>3</v>
      </c>
      <c r="FO12">
        <v>3.9</v>
      </c>
      <c r="FP12">
        <v>27.8</v>
      </c>
      <c r="FT12">
        <v>105</v>
      </c>
      <c r="FU12">
        <v>68</v>
      </c>
      <c r="FV12">
        <v>80</v>
      </c>
      <c r="FW12">
        <v>100</v>
      </c>
      <c r="FX12">
        <v>8.1</v>
      </c>
      <c r="FY12">
        <v>40</v>
      </c>
      <c r="GE12">
        <v>3</v>
      </c>
      <c r="GF12">
        <v>3.5</v>
      </c>
      <c r="GG12">
        <v>29.24</v>
      </c>
      <c r="HL12">
        <f t="shared" si="2"/>
        <v>1.1300000000000026</v>
      </c>
      <c r="HM12" s="16">
        <f t="shared" si="3"/>
        <v>4.6482928835870123E-2</v>
      </c>
      <c r="HN12">
        <f t="shared" si="4"/>
        <v>1.4399999999999977</v>
      </c>
      <c r="HO12" s="16">
        <f t="shared" si="5"/>
        <v>5.1798561151079052E-2</v>
      </c>
      <c r="HP12" s="26">
        <f t="shared" si="6"/>
        <v>0.30999999999999517</v>
      </c>
      <c r="HT12">
        <f t="shared" si="7"/>
        <v>0.69999999999999929</v>
      </c>
      <c r="HU12" s="28">
        <f t="shared" ref="HU12:HU17" si="8">(HT12/EE12)*100</f>
        <v>9.3333333333333233</v>
      </c>
      <c r="HV12">
        <f>FX12-FL12</f>
        <v>0.89999999999999947</v>
      </c>
      <c r="HW12" s="28">
        <f>(HV12/FL12)*100</f>
        <v>12.499999999999991</v>
      </c>
    </row>
    <row r="13" spans="1:255" x14ac:dyDescent="0.35">
      <c r="A13" t="s">
        <v>235</v>
      </c>
      <c r="B13" t="s">
        <v>236</v>
      </c>
      <c r="C13" s="3">
        <v>20460</v>
      </c>
      <c r="D13">
        <v>67</v>
      </c>
      <c r="E13">
        <v>75</v>
      </c>
      <c r="F13">
        <v>164</v>
      </c>
      <c r="G13">
        <f t="shared" si="0"/>
        <v>1.64</v>
      </c>
      <c r="H13">
        <f t="shared" si="1"/>
        <v>27.885187388459254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144</v>
      </c>
      <c r="AG13">
        <v>0</v>
      </c>
      <c r="AH13">
        <v>0</v>
      </c>
      <c r="AI13">
        <v>0</v>
      </c>
      <c r="AJ13">
        <v>0</v>
      </c>
      <c r="AK13" s="3">
        <v>45005</v>
      </c>
      <c r="AL13" t="s">
        <v>38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87</v>
      </c>
      <c r="AT13">
        <v>10</v>
      </c>
      <c r="AU13">
        <v>4</v>
      </c>
      <c r="AV13">
        <v>0</v>
      </c>
      <c r="AW13">
        <v>3</v>
      </c>
      <c r="AX13">
        <v>4</v>
      </c>
      <c r="AY13">
        <v>0</v>
      </c>
      <c r="AZ13">
        <v>0</v>
      </c>
      <c r="BB13">
        <v>22.92</v>
      </c>
      <c r="BC13">
        <v>11.2</v>
      </c>
      <c r="BD13">
        <v>486</v>
      </c>
      <c r="BE13">
        <v>61</v>
      </c>
      <c r="BF13">
        <v>28</v>
      </c>
      <c r="BG13">
        <v>482</v>
      </c>
      <c r="BH13">
        <v>131</v>
      </c>
      <c r="BI13">
        <v>92</v>
      </c>
      <c r="BJ13">
        <v>5</v>
      </c>
      <c r="BK13" t="s">
        <v>144</v>
      </c>
      <c r="BL13" t="s">
        <v>144</v>
      </c>
      <c r="BM13" t="s">
        <v>144</v>
      </c>
      <c r="BN13">
        <v>7.07</v>
      </c>
      <c r="BO13">
        <v>397</v>
      </c>
      <c r="BP13">
        <v>31</v>
      </c>
      <c r="BQ13">
        <v>8</v>
      </c>
      <c r="BR13">
        <v>15.9</v>
      </c>
      <c r="BS13">
        <v>55</v>
      </c>
      <c r="BT13">
        <v>80</v>
      </c>
      <c r="BU13">
        <v>55</v>
      </c>
      <c r="BV13">
        <v>28</v>
      </c>
      <c r="BW13">
        <v>911</v>
      </c>
      <c r="BX13">
        <v>613</v>
      </c>
      <c r="BY13" s="3">
        <v>45005</v>
      </c>
      <c r="BZ13">
        <v>5</v>
      </c>
      <c r="CA13">
        <v>75</v>
      </c>
      <c r="CB13">
        <v>10</v>
      </c>
      <c r="CC13">
        <v>4</v>
      </c>
      <c r="CD13">
        <v>0</v>
      </c>
      <c r="CE13">
        <v>3</v>
      </c>
      <c r="CF13">
        <v>4</v>
      </c>
      <c r="CG13">
        <v>0</v>
      </c>
      <c r="CH13">
        <v>0</v>
      </c>
      <c r="CI13">
        <v>22.92</v>
      </c>
      <c r="CJ13">
        <v>11.2</v>
      </c>
      <c r="CK13">
        <v>486</v>
      </c>
      <c r="CL13">
        <v>61</v>
      </c>
      <c r="CM13">
        <v>28</v>
      </c>
      <c r="CN13">
        <v>482</v>
      </c>
      <c r="CO13">
        <v>131</v>
      </c>
      <c r="CP13">
        <v>92</v>
      </c>
      <c r="CQ13">
        <v>5</v>
      </c>
      <c r="CR13" t="s">
        <v>144</v>
      </c>
      <c r="CS13" t="s">
        <v>144</v>
      </c>
      <c r="CT13" t="s">
        <v>144</v>
      </c>
      <c r="CU13">
        <v>7.07</v>
      </c>
      <c r="CV13">
        <v>397</v>
      </c>
      <c r="CW13">
        <v>31</v>
      </c>
      <c r="CX13">
        <v>8</v>
      </c>
      <c r="CY13">
        <v>15.9</v>
      </c>
      <c r="CZ13">
        <v>55</v>
      </c>
      <c r="DA13">
        <v>80</v>
      </c>
      <c r="DB13">
        <v>55</v>
      </c>
      <c r="DC13">
        <v>28</v>
      </c>
      <c r="DD13">
        <v>911</v>
      </c>
      <c r="DE13">
        <v>613</v>
      </c>
      <c r="DF13">
        <v>1</v>
      </c>
      <c r="DG13">
        <v>2</v>
      </c>
      <c r="DH13">
        <v>100</v>
      </c>
      <c r="DI13">
        <v>1000</v>
      </c>
      <c r="DJ13">
        <v>1</v>
      </c>
      <c r="DK13">
        <v>0</v>
      </c>
      <c r="DL13">
        <v>0.3</v>
      </c>
      <c r="DM13">
        <v>1</v>
      </c>
      <c r="DN13">
        <v>0</v>
      </c>
      <c r="DO13">
        <v>0</v>
      </c>
      <c r="DP13">
        <v>0</v>
      </c>
      <c r="DQ13">
        <v>3</v>
      </c>
      <c r="DR13">
        <v>0</v>
      </c>
      <c r="DS13">
        <v>0</v>
      </c>
      <c r="DT13">
        <v>135</v>
      </c>
      <c r="DU13">
        <v>56</v>
      </c>
      <c r="DV13">
        <v>72</v>
      </c>
      <c r="DW13">
        <v>121</v>
      </c>
      <c r="DX13" t="s">
        <v>239</v>
      </c>
      <c r="DY13">
        <v>0</v>
      </c>
      <c r="DZ13">
        <v>1</v>
      </c>
      <c r="EA13">
        <v>0</v>
      </c>
      <c r="EB13">
        <v>4</v>
      </c>
      <c r="EC13">
        <v>30</v>
      </c>
      <c r="ED13">
        <v>60</v>
      </c>
      <c r="EE13">
        <v>4.5999999999999996</v>
      </c>
      <c r="EF13">
        <v>50</v>
      </c>
      <c r="EG13">
        <v>12</v>
      </c>
      <c r="EH13">
        <v>50</v>
      </c>
      <c r="EI13">
        <v>1</v>
      </c>
      <c r="EJ13">
        <v>0</v>
      </c>
      <c r="EK13" t="s">
        <v>241</v>
      </c>
      <c r="EL13" t="s">
        <v>242</v>
      </c>
      <c r="EM13" t="s">
        <v>144</v>
      </c>
      <c r="EN13" t="s">
        <v>144</v>
      </c>
      <c r="EO13" t="s">
        <v>144</v>
      </c>
      <c r="EP13">
        <v>1</v>
      </c>
      <c r="EQ13">
        <v>4.3499999999999996</v>
      </c>
      <c r="ER13">
        <v>12.3</v>
      </c>
      <c r="ES13" t="s">
        <v>244</v>
      </c>
      <c r="ET13" t="s">
        <v>245</v>
      </c>
      <c r="EU13" t="s">
        <v>246</v>
      </c>
      <c r="EV13">
        <v>120</v>
      </c>
      <c r="EW13">
        <v>64</v>
      </c>
      <c r="EX13">
        <v>77</v>
      </c>
      <c r="EY13">
        <v>120</v>
      </c>
      <c r="EZ13">
        <v>5.2</v>
      </c>
      <c r="FA13" t="s">
        <v>144</v>
      </c>
      <c r="FB13">
        <v>1</v>
      </c>
      <c r="FC13" t="s">
        <v>217</v>
      </c>
      <c r="FD13">
        <v>15.3</v>
      </c>
      <c r="FH13">
        <v>127</v>
      </c>
      <c r="FI13">
        <v>53</v>
      </c>
      <c r="FJ13">
        <v>70</v>
      </c>
      <c r="FK13">
        <v>119</v>
      </c>
      <c r="FL13">
        <v>4</v>
      </c>
      <c r="FM13" t="s">
        <v>144</v>
      </c>
      <c r="FN13">
        <v>1</v>
      </c>
      <c r="FO13" t="s">
        <v>248</v>
      </c>
      <c r="FP13">
        <v>9.9</v>
      </c>
      <c r="FQ13" t="s">
        <v>249</v>
      </c>
      <c r="FR13" t="s">
        <v>250</v>
      </c>
      <c r="FS13" t="s">
        <v>251</v>
      </c>
      <c r="FT13">
        <v>115</v>
      </c>
      <c r="FU13">
        <v>52</v>
      </c>
      <c r="FV13">
        <v>69</v>
      </c>
      <c r="FW13">
        <v>117</v>
      </c>
      <c r="FX13">
        <v>5.0999999999999996</v>
      </c>
      <c r="GD13">
        <v>5</v>
      </c>
      <c r="GE13">
        <v>1</v>
      </c>
      <c r="GF13" t="s">
        <v>252</v>
      </c>
      <c r="GG13">
        <v>14.2</v>
      </c>
      <c r="GH13" t="s">
        <v>227</v>
      </c>
      <c r="GI13" t="s">
        <v>253</v>
      </c>
      <c r="GJ13" t="s">
        <v>254</v>
      </c>
      <c r="HI13">
        <v>1</v>
      </c>
      <c r="HJ13">
        <v>1</v>
      </c>
      <c r="HK13" s="3">
        <v>45028</v>
      </c>
      <c r="HL13">
        <f t="shared" si="2"/>
        <v>3</v>
      </c>
      <c r="HM13" s="16">
        <f t="shared" si="3"/>
        <v>0.24390243902439024</v>
      </c>
      <c r="HN13">
        <f t="shared" si="4"/>
        <v>4.2999999999999989</v>
      </c>
      <c r="HO13" s="16">
        <f t="shared" si="5"/>
        <v>0.4343434343434342</v>
      </c>
      <c r="HP13" s="26">
        <f t="shared" si="6"/>
        <v>1.2999999999999989</v>
      </c>
      <c r="HR13" s="16"/>
      <c r="HT13">
        <f t="shared" si="7"/>
        <v>0.60000000000000053</v>
      </c>
      <c r="HU13" s="28">
        <f t="shared" si="8"/>
        <v>13.043478260869579</v>
      </c>
      <c r="HV13">
        <f>FX13-FL13</f>
        <v>1.0999999999999996</v>
      </c>
      <c r="HW13" s="29">
        <f>(HV13/FL13)*100</f>
        <v>27.499999999999993</v>
      </c>
    </row>
    <row r="14" spans="1:255" x14ac:dyDescent="0.35">
      <c r="A14" t="s">
        <v>183</v>
      </c>
      <c r="B14" t="s">
        <v>184</v>
      </c>
      <c r="C14" s="3">
        <v>28579</v>
      </c>
      <c r="D14">
        <v>28</v>
      </c>
      <c r="E14">
        <v>75</v>
      </c>
      <c r="F14">
        <v>173</v>
      </c>
      <c r="G14">
        <f t="shared" si="0"/>
        <v>1.73</v>
      </c>
      <c r="H14">
        <f t="shared" si="1"/>
        <v>25.059307026629689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 t="s">
        <v>144</v>
      </c>
      <c r="AG14">
        <v>0</v>
      </c>
      <c r="AH14">
        <v>0</v>
      </c>
      <c r="AI14">
        <v>0</v>
      </c>
      <c r="AJ14">
        <v>0</v>
      </c>
      <c r="AK14" s="3">
        <v>44980</v>
      </c>
      <c r="AL14" t="s">
        <v>185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43</v>
      </c>
      <c r="AT14">
        <v>8</v>
      </c>
      <c r="AU14">
        <v>4</v>
      </c>
      <c r="AV14">
        <v>0</v>
      </c>
      <c r="AW14">
        <v>4</v>
      </c>
      <c r="AX14">
        <v>0</v>
      </c>
      <c r="AY14">
        <v>0</v>
      </c>
      <c r="AZ14">
        <v>0</v>
      </c>
      <c r="BB14">
        <v>6.21</v>
      </c>
      <c r="BC14">
        <v>10.3</v>
      </c>
      <c r="BD14">
        <v>316</v>
      </c>
      <c r="BE14">
        <v>79</v>
      </c>
      <c r="BF14">
        <v>3.6</v>
      </c>
      <c r="BG14">
        <v>60</v>
      </c>
      <c r="BH14">
        <v>140</v>
      </c>
      <c r="BI14">
        <v>106</v>
      </c>
      <c r="BJ14">
        <v>9</v>
      </c>
      <c r="BK14">
        <v>7</v>
      </c>
      <c r="BL14">
        <v>0.03</v>
      </c>
      <c r="BM14">
        <v>32</v>
      </c>
      <c r="BN14">
        <v>7.52</v>
      </c>
      <c r="BO14">
        <v>77</v>
      </c>
      <c r="BP14">
        <v>35</v>
      </c>
      <c r="BQ14">
        <v>29</v>
      </c>
      <c r="BR14">
        <v>1.3</v>
      </c>
      <c r="BS14">
        <v>100</v>
      </c>
      <c r="BT14" t="s">
        <v>144</v>
      </c>
      <c r="BU14">
        <v>40</v>
      </c>
      <c r="BV14">
        <v>27</v>
      </c>
      <c r="BW14">
        <v>455</v>
      </c>
      <c r="BX14">
        <v>111</v>
      </c>
      <c r="BY14" s="3">
        <v>44981</v>
      </c>
      <c r="BZ14">
        <v>12</v>
      </c>
      <c r="CA14">
        <v>75</v>
      </c>
      <c r="CB14">
        <v>4</v>
      </c>
      <c r="CC14">
        <v>0</v>
      </c>
      <c r="CD14">
        <v>0</v>
      </c>
      <c r="CE14">
        <v>4</v>
      </c>
      <c r="CF14">
        <v>0</v>
      </c>
      <c r="CG14">
        <v>0</v>
      </c>
      <c r="CH14">
        <v>0</v>
      </c>
      <c r="CI14">
        <v>3.6</v>
      </c>
      <c r="CJ14">
        <v>9.5</v>
      </c>
      <c r="CK14">
        <v>313</v>
      </c>
      <c r="CL14">
        <v>68</v>
      </c>
      <c r="CM14">
        <v>5.2</v>
      </c>
      <c r="CN14">
        <v>79</v>
      </c>
      <c r="CO14">
        <v>139</v>
      </c>
      <c r="CP14">
        <v>107</v>
      </c>
      <c r="CQ14" t="s">
        <v>144</v>
      </c>
      <c r="CR14" t="s">
        <v>144</v>
      </c>
      <c r="CS14" t="s">
        <v>144</v>
      </c>
      <c r="CT14" t="s">
        <v>144</v>
      </c>
      <c r="CU14">
        <v>7.61</v>
      </c>
      <c r="CV14">
        <v>95</v>
      </c>
      <c r="CW14">
        <v>24</v>
      </c>
      <c r="CX14">
        <v>24</v>
      </c>
      <c r="CY14">
        <v>1.9</v>
      </c>
      <c r="CZ14" t="s">
        <v>144</v>
      </c>
      <c r="DA14" t="s">
        <v>144</v>
      </c>
      <c r="DB14" t="s">
        <v>144</v>
      </c>
      <c r="DC14" t="s">
        <v>144</v>
      </c>
      <c r="DD14" t="s">
        <v>144</v>
      </c>
      <c r="DE14" t="s">
        <v>144</v>
      </c>
      <c r="DF14">
        <v>2</v>
      </c>
      <c r="DG14">
        <v>1</v>
      </c>
      <c r="DH14">
        <v>500</v>
      </c>
      <c r="DI14">
        <v>1500</v>
      </c>
      <c r="DJ14">
        <v>1</v>
      </c>
      <c r="DK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89</v>
      </c>
      <c r="DU14">
        <v>74</v>
      </c>
      <c r="DV14">
        <v>80</v>
      </c>
      <c r="DW14">
        <v>81</v>
      </c>
      <c r="DX14">
        <v>35.5</v>
      </c>
      <c r="DY14">
        <v>0</v>
      </c>
      <c r="DZ14">
        <v>0</v>
      </c>
      <c r="EA14">
        <v>1</v>
      </c>
      <c r="EB14">
        <v>5</v>
      </c>
      <c r="EC14">
        <v>30</v>
      </c>
      <c r="ED14">
        <v>60</v>
      </c>
      <c r="EE14">
        <v>2.8</v>
      </c>
      <c r="EF14">
        <v>50</v>
      </c>
      <c r="EG14">
        <v>15</v>
      </c>
      <c r="EH14">
        <v>50</v>
      </c>
      <c r="EI14">
        <v>0</v>
      </c>
      <c r="EJ14">
        <v>0</v>
      </c>
      <c r="EK14" t="s">
        <v>144</v>
      </c>
      <c r="EL14" t="s">
        <v>144</v>
      </c>
      <c r="EM14" t="s">
        <v>144</v>
      </c>
      <c r="EN14" t="s">
        <v>144</v>
      </c>
      <c r="EO14" t="s">
        <v>144</v>
      </c>
      <c r="EP14" t="s">
        <v>144</v>
      </c>
      <c r="EQ14">
        <v>3.38</v>
      </c>
      <c r="ER14">
        <v>10.039999999999999</v>
      </c>
      <c r="ES14">
        <v>2.58</v>
      </c>
      <c r="ET14">
        <v>5.8</v>
      </c>
      <c r="EU14">
        <v>15.98</v>
      </c>
      <c r="EV14" s="2">
        <v>99</v>
      </c>
      <c r="EW14" s="2">
        <v>76</v>
      </c>
      <c r="EX14" s="2">
        <v>84</v>
      </c>
      <c r="EY14" s="2">
        <v>73</v>
      </c>
      <c r="EZ14" s="2">
        <v>2.8</v>
      </c>
      <c r="FA14" t="s">
        <v>144</v>
      </c>
      <c r="FB14" t="s">
        <v>144</v>
      </c>
      <c r="FC14" s="2">
        <v>3.01</v>
      </c>
      <c r="FD14" s="2">
        <v>12.73</v>
      </c>
      <c r="FE14" s="2">
        <v>7.76</v>
      </c>
      <c r="FF14" s="2">
        <v>4.7</v>
      </c>
      <c r="FG14" s="2">
        <v>54.72</v>
      </c>
      <c r="FH14" s="2">
        <v>88</v>
      </c>
      <c r="FI14" s="2">
        <v>74</v>
      </c>
      <c r="FJ14" s="2">
        <v>81</v>
      </c>
      <c r="FK14" s="2">
        <v>75</v>
      </c>
      <c r="FL14" s="2">
        <v>2.9</v>
      </c>
      <c r="FM14" t="s">
        <v>144</v>
      </c>
      <c r="FN14" t="s">
        <v>144</v>
      </c>
      <c r="FO14" s="2">
        <v>3.59</v>
      </c>
      <c r="FP14" s="2">
        <v>7.62</v>
      </c>
      <c r="FQ14" s="2">
        <v>2.5</v>
      </c>
      <c r="FR14" s="2">
        <v>5</v>
      </c>
      <c r="FS14" s="2">
        <v>18.010000000000002</v>
      </c>
      <c r="FT14" s="2">
        <v>100</v>
      </c>
      <c r="FU14" s="2">
        <v>80</v>
      </c>
      <c r="FV14" s="2">
        <v>88</v>
      </c>
      <c r="FW14" s="2">
        <v>67</v>
      </c>
      <c r="FX14" s="2">
        <v>2.9</v>
      </c>
      <c r="FY14" s="2"/>
      <c r="FZ14" s="2"/>
      <c r="GA14" s="2"/>
      <c r="GB14" s="2"/>
      <c r="GC14" s="2"/>
      <c r="GD14" t="s">
        <v>144</v>
      </c>
      <c r="GE14" t="s">
        <v>144</v>
      </c>
      <c r="GF14" s="2">
        <v>2.39</v>
      </c>
      <c r="GG14" s="2">
        <v>15.02</v>
      </c>
      <c r="GH14" s="2">
        <v>6.36</v>
      </c>
      <c r="GI14" s="2">
        <v>5.43</v>
      </c>
      <c r="GJ14" s="2">
        <v>11.29</v>
      </c>
      <c r="GK14" s="2"/>
      <c r="GL14" s="2"/>
      <c r="HJ14">
        <v>1</v>
      </c>
      <c r="HL14">
        <f t="shared" si="2"/>
        <v>2.6900000000000013</v>
      </c>
      <c r="HM14" s="16">
        <f t="shared" si="3"/>
        <v>0.26792828685258979</v>
      </c>
      <c r="HN14">
        <f t="shared" si="4"/>
        <v>7.3999999999999995</v>
      </c>
      <c r="HO14" s="16">
        <f t="shared" si="5"/>
        <v>0.97112860892388442</v>
      </c>
      <c r="HP14" s="26">
        <f t="shared" si="6"/>
        <v>4.7099999999999982</v>
      </c>
      <c r="HR14" s="16"/>
      <c r="HT14">
        <f t="shared" si="7"/>
        <v>0</v>
      </c>
      <c r="HU14" s="28">
        <f t="shared" si="8"/>
        <v>0</v>
      </c>
      <c r="HV14">
        <f>FX14-FL14</f>
        <v>0</v>
      </c>
      <c r="HW14" s="28">
        <f>(HV14/FL14)*100</f>
        <v>0</v>
      </c>
    </row>
    <row r="15" spans="1:255" s="21" customFormat="1" x14ac:dyDescent="0.35">
      <c r="A15" t="s">
        <v>200</v>
      </c>
      <c r="B15" t="s">
        <v>201</v>
      </c>
      <c r="C15" s="3">
        <v>27445</v>
      </c>
      <c r="D15">
        <v>48</v>
      </c>
      <c r="E15">
        <v>91.1</v>
      </c>
      <c r="F15">
        <v>175</v>
      </c>
      <c r="G15">
        <f t="shared" si="0"/>
        <v>1.75</v>
      </c>
      <c r="H15">
        <f t="shared" si="1"/>
        <v>29.746938775510202</v>
      </c>
      <c r="I15">
        <v>1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1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144</v>
      </c>
      <c r="AG15">
        <v>0</v>
      </c>
      <c r="AH15">
        <v>0</v>
      </c>
      <c r="AI15">
        <v>0</v>
      </c>
      <c r="AJ15">
        <v>0</v>
      </c>
      <c r="AK15" s="3">
        <v>44988</v>
      </c>
      <c r="AL15" t="s">
        <v>202</v>
      </c>
      <c r="AM15"/>
      <c r="AN15">
        <v>1</v>
      </c>
      <c r="AO15">
        <v>1</v>
      </c>
      <c r="AP15">
        <v>0</v>
      </c>
      <c r="AQ15">
        <v>0</v>
      </c>
      <c r="AR15">
        <v>0</v>
      </c>
      <c r="AS15">
        <v>71</v>
      </c>
      <c r="AT15">
        <v>8</v>
      </c>
      <c r="AU15">
        <v>1</v>
      </c>
      <c r="AV15">
        <v>0</v>
      </c>
      <c r="AW15">
        <v>4</v>
      </c>
      <c r="AX15">
        <v>3</v>
      </c>
      <c r="AY15">
        <v>0</v>
      </c>
      <c r="AZ15">
        <v>0</v>
      </c>
      <c r="BA15"/>
      <c r="BB15">
        <v>16.829999999999998</v>
      </c>
      <c r="BC15">
        <v>12.5</v>
      </c>
      <c r="BD15">
        <v>298</v>
      </c>
      <c r="BE15">
        <v>55</v>
      </c>
      <c r="BF15">
        <v>3.9</v>
      </c>
      <c r="BG15">
        <v>37</v>
      </c>
      <c r="BH15">
        <v>142</v>
      </c>
      <c r="BI15">
        <v>109</v>
      </c>
      <c r="BJ15">
        <v>7</v>
      </c>
      <c r="BK15">
        <v>18.899999999999999</v>
      </c>
      <c r="BL15">
        <v>0.33</v>
      </c>
      <c r="BM15" t="s">
        <v>144</v>
      </c>
      <c r="BN15">
        <v>6.94</v>
      </c>
      <c r="BO15">
        <v>189</v>
      </c>
      <c r="BP15">
        <v>15</v>
      </c>
      <c r="BQ15">
        <v>3</v>
      </c>
      <c r="BR15">
        <v>2.1</v>
      </c>
      <c r="BS15">
        <v>69</v>
      </c>
      <c r="BT15">
        <v>110</v>
      </c>
      <c r="BU15">
        <v>14</v>
      </c>
      <c r="BV15">
        <v>15</v>
      </c>
      <c r="BW15">
        <v>536</v>
      </c>
      <c r="BX15">
        <v>43</v>
      </c>
      <c r="BY15" s="3">
        <v>44988</v>
      </c>
      <c r="BZ15">
        <v>2</v>
      </c>
      <c r="CA15">
        <v>91</v>
      </c>
      <c r="CB15">
        <v>8</v>
      </c>
      <c r="CC15">
        <v>1</v>
      </c>
      <c r="CD15">
        <v>0</v>
      </c>
      <c r="CE15">
        <v>4</v>
      </c>
      <c r="CF15">
        <v>3</v>
      </c>
      <c r="CG15">
        <v>0</v>
      </c>
      <c r="CH15">
        <v>0</v>
      </c>
      <c r="CI15">
        <v>16.829999999999998</v>
      </c>
      <c r="CJ15">
        <v>12.5</v>
      </c>
      <c r="CK15">
        <v>298</v>
      </c>
      <c r="CL15">
        <v>55</v>
      </c>
      <c r="CM15">
        <v>3.9</v>
      </c>
      <c r="CN15">
        <v>37</v>
      </c>
      <c r="CO15">
        <v>142</v>
      </c>
      <c r="CP15">
        <v>109</v>
      </c>
      <c r="CQ15">
        <v>7</v>
      </c>
      <c r="CR15">
        <v>18.899999999999999</v>
      </c>
      <c r="CS15">
        <v>0.33</v>
      </c>
      <c r="CT15" t="s">
        <v>144</v>
      </c>
      <c r="CU15">
        <v>6.94</v>
      </c>
      <c r="CV15">
        <v>189</v>
      </c>
      <c r="CW15">
        <v>15</v>
      </c>
      <c r="CX15">
        <v>3</v>
      </c>
      <c r="CY15">
        <v>2.1</v>
      </c>
      <c r="CZ15">
        <v>69</v>
      </c>
      <c r="DA15">
        <v>110</v>
      </c>
      <c r="DB15">
        <v>14</v>
      </c>
      <c r="DC15">
        <v>15</v>
      </c>
      <c r="DD15">
        <v>536</v>
      </c>
      <c r="DE15">
        <v>43</v>
      </c>
      <c r="DF15">
        <v>1</v>
      </c>
      <c r="DG15">
        <v>1</v>
      </c>
      <c r="DH15">
        <v>500</v>
      </c>
      <c r="DI15">
        <v>1500</v>
      </c>
      <c r="DJ15">
        <v>1</v>
      </c>
      <c r="DK15">
        <v>0</v>
      </c>
      <c r="DL15"/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86</v>
      </c>
      <c r="DU15">
        <v>46</v>
      </c>
      <c r="DV15">
        <v>59</v>
      </c>
      <c r="DW15">
        <v>134</v>
      </c>
      <c r="DX15">
        <v>35.6</v>
      </c>
      <c r="DY15">
        <v>1</v>
      </c>
      <c r="DZ15">
        <v>0</v>
      </c>
      <c r="EA15">
        <v>0</v>
      </c>
      <c r="EB15" t="s">
        <v>176</v>
      </c>
      <c r="EC15" t="s">
        <v>176</v>
      </c>
      <c r="ED15">
        <v>2</v>
      </c>
      <c r="EE15">
        <v>3.2</v>
      </c>
      <c r="EF15">
        <v>30</v>
      </c>
      <c r="EG15">
        <v>15</v>
      </c>
      <c r="EH15">
        <v>0</v>
      </c>
      <c r="EI15">
        <v>0</v>
      </c>
      <c r="EJ15">
        <v>0</v>
      </c>
      <c r="EK15">
        <v>0.9</v>
      </c>
      <c r="EL15" t="s">
        <v>176</v>
      </c>
      <c r="EM15" t="s">
        <v>144</v>
      </c>
      <c r="EN15" t="s">
        <v>144</v>
      </c>
      <c r="EO15" t="s">
        <v>144</v>
      </c>
      <c r="EP15">
        <v>5</v>
      </c>
      <c r="EQ15">
        <v>8.49</v>
      </c>
      <c r="ER15">
        <v>6.3</v>
      </c>
      <c r="ES15">
        <v>0.64</v>
      </c>
      <c r="ET15">
        <v>5.25</v>
      </c>
      <c r="EU15">
        <v>11.14</v>
      </c>
      <c r="EV15">
        <v>56</v>
      </c>
      <c r="EW15">
        <v>40</v>
      </c>
      <c r="EX15">
        <v>48</v>
      </c>
      <c r="EY15">
        <v>127</v>
      </c>
      <c r="EZ15">
        <v>3.6</v>
      </c>
      <c r="FA15" t="s">
        <v>144</v>
      </c>
      <c r="FB15">
        <v>3</v>
      </c>
      <c r="FC15">
        <v>6.36</v>
      </c>
      <c r="FD15">
        <v>13</v>
      </c>
      <c r="FE15">
        <v>4.5</v>
      </c>
      <c r="FF15">
        <v>6.84</v>
      </c>
      <c r="FG15">
        <v>32.869999999999997</v>
      </c>
      <c r="FH15">
        <v>89</v>
      </c>
      <c r="FI15">
        <v>64</v>
      </c>
      <c r="FJ15">
        <v>73</v>
      </c>
      <c r="FK15">
        <v>133</v>
      </c>
      <c r="FL15">
        <v>3.3</v>
      </c>
      <c r="FM15" t="s">
        <v>144</v>
      </c>
      <c r="FN15">
        <v>5</v>
      </c>
      <c r="FO15">
        <v>7.59</v>
      </c>
      <c r="FP15">
        <v>6.29</v>
      </c>
      <c r="FQ15">
        <v>1.17</v>
      </c>
      <c r="FR15">
        <v>4.46</v>
      </c>
      <c r="FS15">
        <v>11.84</v>
      </c>
      <c r="FT15">
        <v>89</v>
      </c>
      <c r="FU15">
        <v>53</v>
      </c>
      <c r="FV15">
        <v>64</v>
      </c>
      <c r="FW15">
        <v>122</v>
      </c>
      <c r="FX15">
        <v>3.5</v>
      </c>
      <c r="FY15"/>
      <c r="FZ15"/>
      <c r="GA15"/>
      <c r="GB15"/>
      <c r="GC15"/>
      <c r="GD15" t="s">
        <v>144</v>
      </c>
      <c r="GE15">
        <v>4</v>
      </c>
      <c r="GF15">
        <v>6.26</v>
      </c>
      <c r="GG15">
        <v>14.74</v>
      </c>
      <c r="GH15">
        <v>8.85</v>
      </c>
      <c r="GI15">
        <v>7.78</v>
      </c>
      <c r="GJ15">
        <v>119.11</v>
      </c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>
        <v>1</v>
      </c>
      <c r="HK15" s="3">
        <v>45017</v>
      </c>
      <c r="HL15">
        <f t="shared" si="2"/>
        <v>6.7</v>
      </c>
      <c r="HM15" s="16">
        <f t="shared" si="3"/>
        <v>1.0634920634920635</v>
      </c>
      <c r="HN15">
        <f t="shared" si="4"/>
        <v>8.4499999999999993</v>
      </c>
      <c r="HO15" s="16">
        <f t="shared" si="5"/>
        <v>1.3434022257551668</v>
      </c>
      <c r="HP15" s="26">
        <f t="shared" si="6"/>
        <v>1.7499999999999991</v>
      </c>
      <c r="HQ15"/>
      <c r="HR15" s="16"/>
      <c r="HS15"/>
      <c r="HT15">
        <f t="shared" si="7"/>
        <v>0.39999999999999991</v>
      </c>
      <c r="HU15" s="28">
        <f t="shared" si="8"/>
        <v>12.499999999999996</v>
      </c>
      <c r="HV15">
        <f>FX15-FL15</f>
        <v>0.20000000000000018</v>
      </c>
      <c r="HW15" s="28">
        <f>(HV15/FL15)*100</f>
        <v>6.0606060606060659</v>
      </c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</row>
    <row r="16" spans="1:255" s="21" customFormat="1" x14ac:dyDescent="0.35">
      <c r="A16" s="21" t="s">
        <v>178</v>
      </c>
      <c r="B16" s="21" t="s">
        <v>146</v>
      </c>
      <c r="C16" s="22">
        <v>16224</v>
      </c>
      <c r="D16" s="21">
        <v>78</v>
      </c>
      <c r="E16" s="21">
        <v>60.8</v>
      </c>
      <c r="F16" s="21">
        <v>155</v>
      </c>
      <c r="G16">
        <f t="shared" si="0"/>
        <v>1.55</v>
      </c>
      <c r="H16">
        <f t="shared" si="1"/>
        <v>25.306971904266383</v>
      </c>
      <c r="I16" s="21">
        <v>1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 t="s">
        <v>179</v>
      </c>
      <c r="AC16" s="21">
        <v>0</v>
      </c>
      <c r="AD16" s="21">
        <v>0</v>
      </c>
      <c r="AE16" s="21">
        <v>0</v>
      </c>
      <c r="AF16" s="21" t="s">
        <v>176</v>
      </c>
      <c r="AG16" s="21">
        <v>0</v>
      </c>
      <c r="AH16" s="21">
        <v>0</v>
      </c>
      <c r="AI16" s="21">
        <v>0</v>
      </c>
      <c r="AJ16" s="21">
        <v>0</v>
      </c>
      <c r="AK16" s="22">
        <v>44968</v>
      </c>
      <c r="AL16" s="21" t="s">
        <v>180</v>
      </c>
      <c r="AN16" s="21">
        <v>1</v>
      </c>
      <c r="AO16" s="21">
        <v>1</v>
      </c>
      <c r="AP16" s="21">
        <v>0</v>
      </c>
      <c r="AQ16" s="21">
        <v>0</v>
      </c>
      <c r="AR16" s="21">
        <v>0</v>
      </c>
      <c r="AS16" s="21">
        <v>38</v>
      </c>
      <c r="AT16" s="21">
        <v>6</v>
      </c>
      <c r="AU16" s="21">
        <v>4</v>
      </c>
      <c r="AV16" s="21">
        <v>0</v>
      </c>
      <c r="AW16" s="21">
        <v>0</v>
      </c>
      <c r="AX16" s="21">
        <v>2</v>
      </c>
      <c r="AY16" s="21">
        <v>0</v>
      </c>
      <c r="AZ16" s="21">
        <v>0</v>
      </c>
      <c r="BB16" s="21">
        <v>29.72</v>
      </c>
      <c r="BC16" s="21">
        <v>15.2</v>
      </c>
      <c r="BD16" s="21">
        <v>368</v>
      </c>
      <c r="BE16" s="21">
        <v>64</v>
      </c>
      <c r="BF16" s="21">
        <v>17</v>
      </c>
      <c r="BG16" s="21">
        <v>237</v>
      </c>
      <c r="BH16" s="21">
        <v>135</v>
      </c>
      <c r="BI16" s="21">
        <v>98</v>
      </c>
      <c r="BJ16" s="21" t="s">
        <v>144</v>
      </c>
      <c r="BK16" s="21">
        <v>346</v>
      </c>
      <c r="BL16" s="21">
        <v>39.200000000000003</v>
      </c>
      <c r="BM16" s="21">
        <v>21</v>
      </c>
      <c r="BN16" s="21">
        <v>7.48</v>
      </c>
      <c r="BO16" s="21">
        <v>93</v>
      </c>
      <c r="BP16" s="21">
        <v>24</v>
      </c>
      <c r="BQ16" s="21">
        <v>18</v>
      </c>
      <c r="BR16" s="21">
        <v>3.8</v>
      </c>
      <c r="BS16" s="21" t="s">
        <v>144</v>
      </c>
      <c r="BT16" s="21" t="s">
        <v>144</v>
      </c>
      <c r="BU16" s="21">
        <v>51</v>
      </c>
      <c r="BV16" s="21">
        <v>35</v>
      </c>
      <c r="BW16" s="21" t="s">
        <v>144</v>
      </c>
      <c r="BX16" s="21">
        <v>253</v>
      </c>
      <c r="BY16" s="22">
        <v>44970</v>
      </c>
      <c r="BZ16" s="21">
        <v>36</v>
      </c>
      <c r="CA16" s="21">
        <v>61</v>
      </c>
      <c r="CB16" s="21">
        <v>7</v>
      </c>
      <c r="CC16" s="21">
        <v>4</v>
      </c>
      <c r="CD16" s="21">
        <v>0</v>
      </c>
      <c r="CE16" s="21">
        <v>0</v>
      </c>
      <c r="CF16" s="21">
        <v>2</v>
      </c>
      <c r="CG16" s="21">
        <v>1</v>
      </c>
      <c r="CH16" s="21">
        <v>0</v>
      </c>
      <c r="CI16" s="21">
        <v>31.48</v>
      </c>
      <c r="CJ16" s="21">
        <v>12.3</v>
      </c>
      <c r="CK16" s="21">
        <v>228</v>
      </c>
      <c r="CL16" s="21">
        <v>55</v>
      </c>
      <c r="CM16" s="21">
        <v>26.6</v>
      </c>
      <c r="CN16" s="21">
        <v>284</v>
      </c>
      <c r="CO16" s="21">
        <v>138</v>
      </c>
      <c r="CP16" s="21">
        <v>102</v>
      </c>
      <c r="CQ16" s="21">
        <v>20</v>
      </c>
      <c r="CR16" s="21" t="s">
        <v>144</v>
      </c>
      <c r="CS16" s="21" t="s">
        <v>144</v>
      </c>
      <c r="CT16" s="21">
        <v>21</v>
      </c>
      <c r="CU16" s="21">
        <v>7.38</v>
      </c>
      <c r="CV16" s="21">
        <v>88</v>
      </c>
      <c r="CW16" s="21">
        <v>29</v>
      </c>
      <c r="CX16" s="21">
        <v>17</v>
      </c>
      <c r="CY16" s="21">
        <v>2.2000000000000002</v>
      </c>
      <c r="CZ16" s="21">
        <v>42</v>
      </c>
      <c r="DA16" s="21">
        <v>37</v>
      </c>
      <c r="DB16" s="21">
        <v>2776</v>
      </c>
      <c r="DC16" s="21">
        <v>1254</v>
      </c>
      <c r="DD16" s="21">
        <v>3537</v>
      </c>
      <c r="DE16" s="21">
        <v>324</v>
      </c>
      <c r="DF16" s="21" t="s">
        <v>182</v>
      </c>
      <c r="DG16" s="21">
        <v>2</v>
      </c>
      <c r="DH16" s="21">
        <v>100</v>
      </c>
      <c r="DI16" s="21">
        <v>3000</v>
      </c>
      <c r="DJ16" s="21">
        <v>1</v>
      </c>
      <c r="DK16" s="21">
        <v>0</v>
      </c>
      <c r="DL16" s="21">
        <v>0.1</v>
      </c>
      <c r="DM16" s="21">
        <v>1</v>
      </c>
      <c r="DN16" s="21">
        <v>0</v>
      </c>
      <c r="DO16" s="21">
        <v>0</v>
      </c>
      <c r="DP16" s="21">
        <v>0</v>
      </c>
      <c r="DQ16" s="21">
        <v>0</v>
      </c>
      <c r="DR16" s="21">
        <v>0</v>
      </c>
      <c r="DS16" s="21">
        <v>0</v>
      </c>
      <c r="DT16" s="21">
        <v>125</v>
      </c>
      <c r="DU16" s="21">
        <v>58</v>
      </c>
      <c r="DV16" s="21">
        <v>75</v>
      </c>
      <c r="DW16" s="21">
        <v>145</v>
      </c>
      <c r="DX16" s="21">
        <v>36.200000000000003</v>
      </c>
      <c r="DY16" s="21">
        <v>1</v>
      </c>
      <c r="DZ16" s="21">
        <v>0</v>
      </c>
      <c r="EA16" s="21">
        <v>0</v>
      </c>
      <c r="EB16" s="21" t="s">
        <v>176</v>
      </c>
      <c r="EC16" s="21" t="s">
        <v>176</v>
      </c>
      <c r="ED16" s="21">
        <v>2</v>
      </c>
      <c r="EE16" s="21">
        <v>3.7</v>
      </c>
      <c r="EF16" s="21">
        <v>50</v>
      </c>
      <c r="EG16" s="21">
        <v>15</v>
      </c>
      <c r="EH16" s="21">
        <v>0</v>
      </c>
      <c r="EI16" s="21">
        <v>0</v>
      </c>
      <c r="EJ16" s="21">
        <v>0</v>
      </c>
      <c r="EK16" s="21" t="s">
        <v>176</v>
      </c>
      <c r="EL16" s="21" t="s">
        <v>176</v>
      </c>
      <c r="EM16" s="21" t="s">
        <v>176</v>
      </c>
      <c r="EN16" s="21" t="s">
        <v>176</v>
      </c>
      <c r="EO16" s="21" t="s">
        <v>176</v>
      </c>
      <c r="EP16" s="21">
        <v>1</v>
      </c>
      <c r="EQ16" s="21">
        <v>5.01</v>
      </c>
      <c r="ER16" s="21">
        <v>23.68</v>
      </c>
      <c r="ES16" s="21">
        <v>6.07</v>
      </c>
      <c r="ET16" s="21">
        <v>12.73</v>
      </c>
      <c r="EU16" s="21">
        <v>51.97</v>
      </c>
      <c r="EV16" s="21">
        <v>115</v>
      </c>
      <c r="EW16" s="21">
        <v>55</v>
      </c>
      <c r="EX16" s="21">
        <v>67</v>
      </c>
      <c r="EY16" s="21">
        <v>160</v>
      </c>
      <c r="EZ16" s="21">
        <v>4.8</v>
      </c>
      <c r="FA16" s="21" t="s">
        <v>144</v>
      </c>
      <c r="FB16" s="21">
        <v>0</v>
      </c>
      <c r="FC16" s="21">
        <v>2.25</v>
      </c>
      <c r="FD16" s="21">
        <v>55.07</v>
      </c>
      <c r="FE16" s="21">
        <v>35.04</v>
      </c>
      <c r="FF16" s="21">
        <v>23.62</v>
      </c>
      <c r="FG16" s="21">
        <v>62.79</v>
      </c>
      <c r="FH16" s="21">
        <v>117</v>
      </c>
      <c r="FI16" s="21">
        <v>55</v>
      </c>
      <c r="FJ16" s="21">
        <v>66</v>
      </c>
      <c r="FK16" s="21">
        <v>165</v>
      </c>
      <c r="FL16" s="21">
        <v>3.9</v>
      </c>
      <c r="FM16" s="21" t="s">
        <v>144</v>
      </c>
      <c r="FN16" s="21">
        <v>1</v>
      </c>
      <c r="FO16" s="21">
        <v>3.21</v>
      </c>
      <c r="FP16" s="21">
        <v>37.57</v>
      </c>
      <c r="FQ16" s="21">
        <v>28.45</v>
      </c>
      <c r="FR16" s="21">
        <v>13.46</v>
      </c>
      <c r="FS16" s="21">
        <v>260.99</v>
      </c>
      <c r="FT16" s="21">
        <v>106</v>
      </c>
      <c r="FU16" s="21">
        <v>50</v>
      </c>
      <c r="FV16" s="21">
        <v>62</v>
      </c>
      <c r="FW16" s="21">
        <v>153</v>
      </c>
      <c r="FX16" s="21">
        <v>4.7</v>
      </c>
      <c r="GD16" s="21" t="s">
        <v>144</v>
      </c>
      <c r="GE16" s="21">
        <v>0</v>
      </c>
      <c r="GF16" s="21">
        <v>2.5499999999999998</v>
      </c>
      <c r="GG16" s="21">
        <v>47.32</v>
      </c>
      <c r="GH16" s="21">
        <v>11.77</v>
      </c>
      <c r="GI16" s="21">
        <v>27.56</v>
      </c>
      <c r="GJ16" s="21">
        <v>110.78</v>
      </c>
      <c r="HL16" s="21">
        <f t="shared" si="2"/>
        <v>31.39</v>
      </c>
      <c r="HM16" s="23">
        <f t="shared" si="3"/>
        <v>1.3255912162162162</v>
      </c>
      <c r="HN16" s="21">
        <f t="shared" si="4"/>
        <v>9.75</v>
      </c>
      <c r="HO16" s="23">
        <f t="shared" si="5"/>
        <v>0.25951557093425603</v>
      </c>
      <c r="HP16" s="26">
        <f t="shared" si="6"/>
        <v>-21.64</v>
      </c>
      <c r="HQ16"/>
      <c r="HR16" s="23"/>
      <c r="HT16">
        <f t="shared" si="7"/>
        <v>1.0999999999999996</v>
      </c>
      <c r="HU16" s="28">
        <f t="shared" si="8"/>
        <v>29.729729729729719</v>
      </c>
      <c r="HV16">
        <f>FX16-FL16</f>
        <v>0.80000000000000027</v>
      </c>
      <c r="HW16" s="29">
        <f>(HV16/FL16)*100</f>
        <v>20.512820512820522</v>
      </c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</row>
    <row r="17" spans="1:255" x14ac:dyDescent="0.35">
      <c r="A17" t="s">
        <v>192</v>
      </c>
      <c r="B17" t="s">
        <v>193</v>
      </c>
      <c r="C17" s="3">
        <v>20637</v>
      </c>
      <c r="D17">
        <v>66</v>
      </c>
      <c r="E17">
        <v>69</v>
      </c>
      <c r="F17">
        <v>176</v>
      </c>
      <c r="G17">
        <f t="shared" si="0"/>
        <v>1.76</v>
      </c>
      <c r="H17">
        <f t="shared" si="1"/>
        <v>22.275309917355372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144</v>
      </c>
      <c r="AG17">
        <v>0</v>
      </c>
      <c r="AH17">
        <v>0</v>
      </c>
      <c r="AI17">
        <v>0</v>
      </c>
      <c r="AJ17">
        <v>0</v>
      </c>
      <c r="AK17" s="3">
        <v>44953</v>
      </c>
      <c r="AL17" t="s">
        <v>194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58</v>
      </c>
      <c r="AT17">
        <v>11</v>
      </c>
      <c r="AU17">
        <v>4</v>
      </c>
      <c r="AV17">
        <v>0</v>
      </c>
      <c r="AW17">
        <v>1</v>
      </c>
      <c r="AX17">
        <v>4</v>
      </c>
      <c r="AY17">
        <v>0</v>
      </c>
      <c r="AZ17">
        <v>0</v>
      </c>
      <c r="BB17">
        <v>2.75</v>
      </c>
      <c r="BC17">
        <v>12.9</v>
      </c>
      <c r="BD17">
        <v>191</v>
      </c>
      <c r="BE17">
        <v>43</v>
      </c>
      <c r="BF17">
        <v>14.3</v>
      </c>
      <c r="BG17">
        <v>319</v>
      </c>
      <c r="BH17">
        <v>141</v>
      </c>
      <c r="BI17">
        <v>104</v>
      </c>
      <c r="BJ17">
        <v>7</v>
      </c>
      <c r="BK17">
        <v>290</v>
      </c>
      <c r="BL17">
        <v>148</v>
      </c>
      <c r="BM17" t="s">
        <v>144</v>
      </c>
      <c r="BN17">
        <v>7.26</v>
      </c>
      <c r="BO17">
        <v>224</v>
      </c>
      <c r="BP17">
        <v>32</v>
      </c>
      <c r="BQ17">
        <v>15</v>
      </c>
      <c r="BR17">
        <v>8</v>
      </c>
      <c r="BS17">
        <v>40</v>
      </c>
      <c r="BT17">
        <v>45</v>
      </c>
      <c r="BU17">
        <v>142</v>
      </c>
      <c r="BV17">
        <v>39</v>
      </c>
      <c r="BW17">
        <v>596</v>
      </c>
      <c r="BX17">
        <v>6260</v>
      </c>
      <c r="BY17" s="3">
        <v>44953</v>
      </c>
      <c r="BZ17">
        <v>7</v>
      </c>
      <c r="CA17">
        <v>69</v>
      </c>
      <c r="CB17">
        <v>11</v>
      </c>
      <c r="CC17">
        <v>4</v>
      </c>
      <c r="CD17">
        <v>2</v>
      </c>
      <c r="CE17">
        <v>1</v>
      </c>
      <c r="CF17">
        <v>4</v>
      </c>
      <c r="CG17">
        <v>0</v>
      </c>
      <c r="CH17">
        <v>0</v>
      </c>
      <c r="CI17">
        <v>3.28</v>
      </c>
      <c r="CJ17">
        <v>12.9</v>
      </c>
      <c r="CK17">
        <v>194</v>
      </c>
      <c r="CL17">
        <v>42</v>
      </c>
      <c r="CM17">
        <v>15.5</v>
      </c>
      <c r="CN17">
        <v>320</v>
      </c>
      <c r="CO17">
        <v>138</v>
      </c>
      <c r="CP17">
        <v>104</v>
      </c>
      <c r="CQ17">
        <v>10</v>
      </c>
      <c r="CR17">
        <v>290</v>
      </c>
      <c r="CS17">
        <v>148</v>
      </c>
      <c r="CT17" t="s">
        <v>144</v>
      </c>
      <c r="CU17">
        <v>7.02</v>
      </c>
      <c r="CV17">
        <v>206</v>
      </c>
      <c r="CW17">
        <v>27</v>
      </c>
      <c r="CX17">
        <v>8</v>
      </c>
      <c r="CY17">
        <v>14</v>
      </c>
      <c r="CZ17">
        <v>34</v>
      </c>
      <c r="DA17">
        <v>47</v>
      </c>
      <c r="DB17">
        <v>293</v>
      </c>
      <c r="DC17">
        <v>79</v>
      </c>
      <c r="DD17">
        <v>950</v>
      </c>
      <c r="DE17">
        <v>12750</v>
      </c>
      <c r="DF17">
        <v>1</v>
      </c>
      <c r="DG17">
        <v>1</v>
      </c>
      <c r="DH17">
        <v>500</v>
      </c>
      <c r="DI17">
        <v>4500</v>
      </c>
      <c r="DJ17">
        <v>1</v>
      </c>
      <c r="DK17">
        <v>2</v>
      </c>
      <c r="DL17">
        <v>0.4</v>
      </c>
      <c r="DM17">
        <v>1</v>
      </c>
      <c r="DN17">
        <v>0</v>
      </c>
      <c r="DO17">
        <v>0</v>
      </c>
      <c r="DP17">
        <v>50</v>
      </c>
      <c r="DQ17">
        <v>5</v>
      </c>
      <c r="DR17">
        <v>0</v>
      </c>
      <c r="DS17">
        <v>0</v>
      </c>
      <c r="DT17">
        <v>96</v>
      </c>
      <c r="DU17">
        <v>50</v>
      </c>
      <c r="DV17">
        <v>65</v>
      </c>
      <c r="DW17">
        <v>102</v>
      </c>
      <c r="DX17">
        <v>34.200000000000003</v>
      </c>
      <c r="DY17">
        <v>0</v>
      </c>
      <c r="DZ17">
        <v>0</v>
      </c>
      <c r="EA17">
        <v>1</v>
      </c>
      <c r="EB17">
        <v>5</v>
      </c>
      <c r="EC17">
        <v>100</v>
      </c>
      <c r="ED17">
        <v>60</v>
      </c>
      <c r="EE17">
        <v>2.8</v>
      </c>
      <c r="EF17">
        <v>40</v>
      </c>
      <c r="EG17">
        <v>9</v>
      </c>
      <c r="EH17">
        <v>50</v>
      </c>
      <c r="EI17">
        <v>0</v>
      </c>
      <c r="EJ17">
        <v>0</v>
      </c>
      <c r="EK17">
        <v>0.9</v>
      </c>
      <c r="EL17">
        <v>5.0999999999999996</v>
      </c>
      <c r="EM17">
        <v>19</v>
      </c>
      <c r="EN17" t="s">
        <v>144</v>
      </c>
      <c r="EO17">
        <v>8</v>
      </c>
      <c r="EP17">
        <v>5</v>
      </c>
      <c r="EQ17">
        <v>5.51</v>
      </c>
      <c r="ER17">
        <v>7.93</v>
      </c>
      <c r="ES17">
        <v>0.36</v>
      </c>
      <c r="ET17">
        <v>7.26</v>
      </c>
      <c r="EU17">
        <v>10.56</v>
      </c>
      <c r="EV17">
        <v>193</v>
      </c>
      <c r="EW17">
        <v>63</v>
      </c>
      <c r="EX17">
        <v>105</v>
      </c>
      <c r="EY17">
        <v>105</v>
      </c>
      <c r="EZ17">
        <v>4.5</v>
      </c>
      <c r="FA17">
        <v>20</v>
      </c>
      <c r="FB17">
        <v>3</v>
      </c>
      <c r="FC17">
        <v>3.17</v>
      </c>
      <c r="FD17">
        <v>15.02</v>
      </c>
      <c r="FE17">
        <v>9.57</v>
      </c>
      <c r="FF17">
        <v>7.66</v>
      </c>
      <c r="FG17">
        <v>90.09</v>
      </c>
      <c r="FH17" t="s">
        <v>144</v>
      </c>
      <c r="FI17" t="s">
        <v>144</v>
      </c>
      <c r="FJ17" t="s">
        <v>144</v>
      </c>
      <c r="FK17" t="s">
        <v>144</v>
      </c>
      <c r="FL17" t="s">
        <v>144</v>
      </c>
      <c r="FM17" t="s">
        <v>144</v>
      </c>
      <c r="FN17" t="s">
        <v>144</v>
      </c>
      <c r="FO17" t="s">
        <v>144</v>
      </c>
      <c r="FP17" t="s">
        <v>144</v>
      </c>
      <c r="FQ17" t="s">
        <v>144</v>
      </c>
      <c r="FR17" t="s">
        <v>144</v>
      </c>
      <c r="FS17" t="s">
        <v>144</v>
      </c>
      <c r="FT17">
        <v>138</v>
      </c>
      <c r="FU17">
        <v>47</v>
      </c>
      <c r="FV17">
        <v>77</v>
      </c>
      <c r="FW17">
        <v>109</v>
      </c>
      <c r="FX17">
        <v>5.6</v>
      </c>
      <c r="GD17">
        <v>10</v>
      </c>
      <c r="GE17">
        <v>0</v>
      </c>
      <c r="GF17">
        <v>2.58</v>
      </c>
      <c r="GG17">
        <v>26.06</v>
      </c>
      <c r="GH17">
        <v>1.8</v>
      </c>
      <c r="GI17">
        <v>22.9</v>
      </c>
      <c r="GJ17">
        <v>40.47</v>
      </c>
      <c r="HL17">
        <f t="shared" si="2"/>
        <v>7.09</v>
      </c>
      <c r="HM17" s="16">
        <f t="shared" si="3"/>
        <v>0.89407313997477933</v>
      </c>
      <c r="HN17">
        <f>GG17-FD17</f>
        <v>11.04</v>
      </c>
      <c r="HO17" s="16">
        <f>HN17/FD17</f>
        <v>0.73501997336884151</v>
      </c>
      <c r="HP17" s="26">
        <f t="shared" si="6"/>
        <v>3.9499999999999993</v>
      </c>
      <c r="HR17" s="16">
        <f>HQ17/FD17</f>
        <v>0</v>
      </c>
      <c r="HS17">
        <f>HE17-GG17</f>
        <v>-26.06</v>
      </c>
      <c r="HT17">
        <f t="shared" si="7"/>
        <v>1.7000000000000002</v>
      </c>
      <c r="HU17" s="28">
        <f t="shared" si="8"/>
        <v>60.714285714285722</v>
      </c>
      <c r="HW17" s="28"/>
    </row>
    <row r="18" spans="1:255" s="17" customFormat="1" x14ac:dyDescent="0.35">
      <c r="A18" t="s">
        <v>357</v>
      </c>
      <c r="B18" t="s">
        <v>358</v>
      </c>
      <c r="C18" s="3">
        <v>16733</v>
      </c>
      <c r="D18">
        <v>77</v>
      </c>
      <c r="E18">
        <v>55</v>
      </c>
      <c r="F18">
        <v>169</v>
      </c>
      <c r="G18">
        <f t="shared" si="0"/>
        <v>1.69</v>
      </c>
      <c r="H18">
        <f t="shared" si="1"/>
        <v>19.257028815517668</v>
      </c>
      <c r="I18">
        <v>0</v>
      </c>
      <c r="J18">
        <v>1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1</v>
      </c>
      <c r="AD18">
        <v>1</v>
      </c>
      <c r="AE18">
        <v>0</v>
      </c>
      <c r="AF18"/>
      <c r="AG18"/>
      <c r="AH18"/>
      <c r="AI18"/>
      <c r="AJ18"/>
      <c r="AK18" s="3">
        <v>45181</v>
      </c>
      <c r="AL18" t="s">
        <v>359</v>
      </c>
      <c r="AM18"/>
      <c r="AN18">
        <v>1</v>
      </c>
      <c r="AO18">
        <v>0</v>
      </c>
      <c r="AP18">
        <v>0</v>
      </c>
      <c r="AQ18">
        <v>0</v>
      </c>
      <c r="AR18">
        <v>0</v>
      </c>
      <c r="AS18"/>
      <c r="AT18">
        <v>8</v>
      </c>
      <c r="AU18">
        <v>4</v>
      </c>
      <c r="AV18">
        <v>0</v>
      </c>
      <c r="AW18">
        <v>2</v>
      </c>
      <c r="AX18">
        <v>2</v>
      </c>
      <c r="AY18">
        <v>0</v>
      </c>
      <c r="AZ18">
        <v>0</v>
      </c>
      <c r="BA18"/>
      <c r="BB18">
        <v>7.6</v>
      </c>
      <c r="BC18">
        <v>11.1</v>
      </c>
      <c r="BD18">
        <v>329</v>
      </c>
      <c r="BE18">
        <v>76</v>
      </c>
      <c r="BF18">
        <v>12</v>
      </c>
      <c r="BG18">
        <v>267</v>
      </c>
      <c r="BH18">
        <v>132</v>
      </c>
      <c r="BI18">
        <v>97</v>
      </c>
      <c r="BJ18">
        <v>11</v>
      </c>
      <c r="BK18">
        <v>288</v>
      </c>
      <c r="BL18"/>
      <c r="BM18"/>
      <c r="BN18">
        <v>7.45</v>
      </c>
      <c r="BO18">
        <v>84</v>
      </c>
      <c r="BP18">
        <v>25</v>
      </c>
      <c r="BQ18">
        <v>17</v>
      </c>
      <c r="BR18">
        <v>5.0999999999999996</v>
      </c>
      <c r="BS18"/>
      <c r="BT18"/>
      <c r="BU18">
        <v>26</v>
      </c>
      <c r="BV18">
        <v>16</v>
      </c>
      <c r="BW18"/>
      <c r="BX18"/>
      <c r="BY18" s="3">
        <v>45181</v>
      </c>
      <c r="BZ18">
        <v>3</v>
      </c>
      <c r="CA18">
        <v>77</v>
      </c>
      <c r="CB18">
        <v>8</v>
      </c>
      <c r="CC18">
        <v>4</v>
      </c>
      <c r="CD18">
        <v>0</v>
      </c>
      <c r="CE18">
        <v>2</v>
      </c>
      <c r="CF18">
        <v>2</v>
      </c>
      <c r="CG18">
        <v>0</v>
      </c>
      <c r="CH18">
        <v>0</v>
      </c>
      <c r="CI18">
        <v>7.6</v>
      </c>
      <c r="CJ18">
        <v>11.1</v>
      </c>
      <c r="CK18">
        <v>329</v>
      </c>
      <c r="CL18">
        <v>76</v>
      </c>
      <c r="CM18">
        <v>12</v>
      </c>
      <c r="CN18">
        <v>267</v>
      </c>
      <c r="CO18">
        <v>132</v>
      </c>
      <c r="CP18">
        <v>97</v>
      </c>
      <c r="CQ18">
        <v>11</v>
      </c>
      <c r="CR18">
        <v>288</v>
      </c>
      <c r="CS18"/>
      <c r="CT18"/>
      <c r="CU18">
        <v>7.45</v>
      </c>
      <c r="CV18">
        <v>84</v>
      </c>
      <c r="CW18">
        <v>25</v>
      </c>
      <c r="CX18">
        <v>17</v>
      </c>
      <c r="CY18">
        <v>5.0999999999999996</v>
      </c>
      <c r="CZ18"/>
      <c r="DA18"/>
      <c r="DB18">
        <v>26</v>
      </c>
      <c r="DC18">
        <v>16</v>
      </c>
      <c r="DD18"/>
      <c r="DE18"/>
      <c r="DF18">
        <v>3</v>
      </c>
      <c r="DG18">
        <v>2</v>
      </c>
      <c r="DH18">
        <v>100</v>
      </c>
      <c r="DI18">
        <v>500</v>
      </c>
      <c r="DJ18">
        <v>1</v>
      </c>
      <c r="DK18">
        <v>0</v>
      </c>
      <c r="DL18"/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107</v>
      </c>
      <c r="DU18">
        <v>59</v>
      </c>
      <c r="DV18">
        <v>77</v>
      </c>
      <c r="DW18">
        <v>105</v>
      </c>
      <c r="DX18">
        <v>37.4</v>
      </c>
      <c r="DY18">
        <v>1</v>
      </c>
      <c r="DZ18">
        <v>0</v>
      </c>
      <c r="EA18">
        <v>0</v>
      </c>
      <c r="EB18">
        <v>0</v>
      </c>
      <c r="EC18"/>
      <c r="ED18">
        <v>2</v>
      </c>
      <c r="EE18"/>
      <c r="EF18"/>
      <c r="EG18"/>
      <c r="EH18"/>
      <c r="EI18"/>
      <c r="EJ18"/>
      <c r="EK18"/>
      <c r="EL18"/>
      <c r="EM18"/>
      <c r="EN18"/>
      <c r="EO18"/>
      <c r="EP18"/>
      <c r="EQ18">
        <v>4.0999999999999996</v>
      </c>
      <c r="ER18">
        <v>44.3</v>
      </c>
      <c r="ES18"/>
      <c r="ET18"/>
      <c r="EU18"/>
      <c r="EV18">
        <v>110</v>
      </c>
      <c r="EW18">
        <v>65</v>
      </c>
      <c r="EX18">
        <v>83</v>
      </c>
      <c r="EY18">
        <v>105</v>
      </c>
      <c r="EZ18"/>
      <c r="FA18"/>
      <c r="FB18"/>
      <c r="FC18">
        <v>3.9</v>
      </c>
      <c r="FD18">
        <v>46.86</v>
      </c>
      <c r="FE18"/>
      <c r="FF18"/>
      <c r="FG18"/>
      <c r="FH18">
        <v>106</v>
      </c>
      <c r="FI18">
        <v>59</v>
      </c>
      <c r="FJ18">
        <v>76</v>
      </c>
      <c r="FK18">
        <v>107</v>
      </c>
      <c r="FL18"/>
      <c r="FM18"/>
      <c r="FN18"/>
      <c r="FO18">
        <v>4.8</v>
      </c>
      <c r="FP18">
        <v>33.81</v>
      </c>
      <c r="FQ18"/>
      <c r="FR18"/>
      <c r="FS18"/>
      <c r="FT18">
        <v>101</v>
      </c>
      <c r="FU18">
        <v>55</v>
      </c>
      <c r="FV18">
        <v>73</v>
      </c>
      <c r="FW18">
        <v>103</v>
      </c>
      <c r="FX18"/>
      <c r="FY18"/>
      <c r="FZ18"/>
      <c r="GA18"/>
      <c r="GB18"/>
      <c r="GC18"/>
      <c r="GD18"/>
      <c r="GE18"/>
      <c r="GF18">
        <v>3.7</v>
      </c>
      <c r="GG18">
        <v>45.33</v>
      </c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>
        <f t="shared" si="2"/>
        <v>2.5600000000000023</v>
      </c>
      <c r="HM18" s="16">
        <f t="shared" si="3"/>
        <v>5.778781038374723E-2</v>
      </c>
      <c r="HN18">
        <f t="shared" ref="HN18:HN39" si="9">GG18-FP18</f>
        <v>11.519999999999996</v>
      </c>
      <c r="HO18" s="16">
        <f t="shared" ref="HO18:HO39" si="10">HN18/FP18</f>
        <v>0.34072759538598035</v>
      </c>
      <c r="HP18" s="26">
        <f t="shared" si="6"/>
        <v>8.9599999999999937</v>
      </c>
      <c r="HQ18"/>
      <c r="HR18"/>
      <c r="HS18"/>
      <c r="HT18"/>
      <c r="HU18" s="28"/>
      <c r="HV18"/>
      <c r="HW18" s="2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</row>
    <row r="19" spans="1:255" x14ac:dyDescent="0.35">
      <c r="A19" t="s">
        <v>329</v>
      </c>
      <c r="B19" t="s">
        <v>330</v>
      </c>
      <c r="C19" s="3">
        <v>17333</v>
      </c>
      <c r="D19">
        <v>76</v>
      </c>
      <c r="E19">
        <v>113.5</v>
      </c>
      <c r="F19">
        <v>175</v>
      </c>
      <c r="G19">
        <f t="shared" si="0"/>
        <v>1.75</v>
      </c>
      <c r="H19">
        <f t="shared" si="1"/>
        <v>37.061224489795919</v>
      </c>
      <c r="I19">
        <v>0</v>
      </c>
      <c r="J19">
        <v>1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144</v>
      </c>
      <c r="AK19" s="3">
        <v>45141</v>
      </c>
      <c r="AL19" t="s">
        <v>38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63</v>
      </c>
      <c r="AT19">
        <v>11</v>
      </c>
      <c r="AU19">
        <v>4</v>
      </c>
      <c r="AV19">
        <v>0</v>
      </c>
      <c r="AW19">
        <v>1</v>
      </c>
      <c r="AX19">
        <v>3</v>
      </c>
      <c r="AY19">
        <v>0</v>
      </c>
      <c r="AZ19">
        <v>3</v>
      </c>
      <c r="BB19">
        <v>8.6</v>
      </c>
      <c r="BC19">
        <v>11.8</v>
      </c>
      <c r="BD19">
        <v>30</v>
      </c>
      <c r="BE19">
        <v>49</v>
      </c>
      <c r="BF19">
        <v>29</v>
      </c>
      <c r="BG19">
        <v>437</v>
      </c>
      <c r="BH19">
        <v>140</v>
      </c>
      <c r="BI19">
        <v>109</v>
      </c>
      <c r="BJ19">
        <v>7</v>
      </c>
      <c r="BK19">
        <v>168</v>
      </c>
      <c r="BM19">
        <v>17.600000000000001</v>
      </c>
      <c r="BN19">
        <v>7.36</v>
      </c>
      <c r="BO19">
        <v>76</v>
      </c>
      <c r="BP19">
        <v>17</v>
      </c>
      <c r="BQ19">
        <v>10</v>
      </c>
      <c r="BR19">
        <v>3.8</v>
      </c>
      <c r="BS19">
        <v>57</v>
      </c>
      <c r="BT19">
        <v>53</v>
      </c>
      <c r="BU19">
        <v>29</v>
      </c>
      <c r="BV19">
        <v>18</v>
      </c>
      <c r="BW19">
        <v>729</v>
      </c>
      <c r="BX19">
        <v>41</v>
      </c>
      <c r="BY19" s="3">
        <v>45142</v>
      </c>
      <c r="BZ19">
        <v>20</v>
      </c>
      <c r="CA19">
        <v>113.5</v>
      </c>
      <c r="CB19">
        <v>13</v>
      </c>
      <c r="CC19">
        <v>4</v>
      </c>
      <c r="CD19">
        <v>0</v>
      </c>
      <c r="CE19">
        <v>2</v>
      </c>
      <c r="CF19">
        <v>4</v>
      </c>
      <c r="CG19">
        <v>0</v>
      </c>
      <c r="CH19">
        <v>3</v>
      </c>
      <c r="CI19">
        <v>21.3</v>
      </c>
      <c r="CJ19">
        <v>11.6</v>
      </c>
      <c r="CK19">
        <v>52</v>
      </c>
      <c r="CL19">
        <v>43</v>
      </c>
      <c r="CM19">
        <v>20</v>
      </c>
      <c r="CN19">
        <v>325</v>
      </c>
      <c r="CO19">
        <v>141</v>
      </c>
      <c r="CP19">
        <v>105</v>
      </c>
      <c r="CQ19">
        <v>8</v>
      </c>
      <c r="CR19">
        <v>123</v>
      </c>
      <c r="CS19">
        <v>15</v>
      </c>
      <c r="CU19">
        <v>6.92</v>
      </c>
      <c r="CV19">
        <v>166</v>
      </c>
      <c r="CW19">
        <v>42</v>
      </c>
      <c r="CX19">
        <v>10</v>
      </c>
      <c r="CY19">
        <v>18.600000000000001</v>
      </c>
      <c r="DB19">
        <v>25</v>
      </c>
      <c r="DC19">
        <v>18</v>
      </c>
      <c r="DD19">
        <v>781</v>
      </c>
      <c r="DE19">
        <v>38</v>
      </c>
      <c r="DF19">
        <v>1</v>
      </c>
      <c r="DG19">
        <v>2</v>
      </c>
      <c r="DH19">
        <v>100</v>
      </c>
      <c r="DI19">
        <v>1000</v>
      </c>
      <c r="DJ19">
        <v>1</v>
      </c>
      <c r="DK19">
        <v>0</v>
      </c>
      <c r="DL19">
        <v>0.4</v>
      </c>
      <c r="DM19">
        <v>1</v>
      </c>
      <c r="DN19">
        <v>0</v>
      </c>
      <c r="DO19">
        <v>0</v>
      </c>
      <c r="DP19">
        <v>80</v>
      </c>
      <c r="DQ19">
        <v>5</v>
      </c>
      <c r="DR19">
        <v>0</v>
      </c>
      <c r="DS19">
        <v>0</v>
      </c>
      <c r="DT19">
        <v>93</v>
      </c>
      <c r="DU19">
        <v>46</v>
      </c>
      <c r="DV19">
        <v>62</v>
      </c>
      <c r="DW19">
        <v>79</v>
      </c>
      <c r="DX19">
        <v>37.1</v>
      </c>
      <c r="DY19">
        <v>0</v>
      </c>
      <c r="DZ19">
        <v>0</v>
      </c>
      <c r="EA19">
        <v>1</v>
      </c>
      <c r="EB19">
        <v>8</v>
      </c>
      <c r="EC19">
        <v>40</v>
      </c>
      <c r="ED19">
        <v>60</v>
      </c>
      <c r="EE19">
        <v>4.0999999999999996</v>
      </c>
      <c r="EF19">
        <v>50</v>
      </c>
      <c r="EG19">
        <v>20</v>
      </c>
      <c r="EH19">
        <v>0</v>
      </c>
      <c r="EI19">
        <v>0</v>
      </c>
      <c r="EJ19">
        <v>0</v>
      </c>
      <c r="EK19">
        <v>0.9</v>
      </c>
      <c r="EL19">
        <v>6</v>
      </c>
      <c r="EM19">
        <v>5</v>
      </c>
      <c r="EP19">
        <v>0</v>
      </c>
      <c r="EQ19">
        <v>2.4</v>
      </c>
      <c r="ER19">
        <v>44.42</v>
      </c>
      <c r="ES19">
        <v>7.39</v>
      </c>
      <c r="EV19">
        <v>128</v>
      </c>
      <c r="EW19">
        <v>47</v>
      </c>
      <c r="EX19">
        <v>67</v>
      </c>
      <c r="EY19">
        <v>79</v>
      </c>
      <c r="EZ19">
        <v>5.4</v>
      </c>
      <c r="FA19">
        <v>5</v>
      </c>
      <c r="FB19">
        <v>0</v>
      </c>
      <c r="FC19">
        <v>1.7</v>
      </c>
      <c r="FD19">
        <v>56.28</v>
      </c>
      <c r="FH19">
        <v>106</v>
      </c>
      <c r="FI19">
        <v>51</v>
      </c>
      <c r="FJ19">
        <v>67</v>
      </c>
      <c r="FK19">
        <v>91</v>
      </c>
      <c r="FL19">
        <v>5.2</v>
      </c>
      <c r="FM19">
        <v>5</v>
      </c>
      <c r="FN19">
        <v>0</v>
      </c>
      <c r="FO19">
        <v>2.35</v>
      </c>
      <c r="FP19">
        <v>35.950000000000003</v>
      </c>
      <c r="FT19">
        <v>116</v>
      </c>
      <c r="FU19">
        <v>46</v>
      </c>
      <c r="FV19">
        <v>64</v>
      </c>
      <c r="FW19">
        <v>80</v>
      </c>
      <c r="FX19">
        <v>5.0999999999999996</v>
      </c>
      <c r="GD19">
        <v>5</v>
      </c>
      <c r="GE19">
        <v>0</v>
      </c>
      <c r="GF19">
        <v>2.2999999999999998</v>
      </c>
      <c r="GG19">
        <v>49.9</v>
      </c>
      <c r="GH19">
        <v>13.6</v>
      </c>
      <c r="GK19">
        <v>114</v>
      </c>
      <c r="GL19">
        <v>50</v>
      </c>
      <c r="GM19">
        <v>68</v>
      </c>
      <c r="GN19">
        <v>78</v>
      </c>
      <c r="GP19">
        <v>5</v>
      </c>
      <c r="GQ19">
        <v>0</v>
      </c>
      <c r="GR19">
        <v>2.9</v>
      </c>
      <c r="GS19">
        <v>40.200000000000003</v>
      </c>
      <c r="GW19">
        <v>99</v>
      </c>
      <c r="GX19">
        <v>52</v>
      </c>
      <c r="GY19">
        <v>66</v>
      </c>
      <c r="GZ19">
        <v>85</v>
      </c>
      <c r="HC19">
        <v>0</v>
      </c>
      <c r="HD19">
        <v>3.1</v>
      </c>
      <c r="HE19">
        <v>30.43</v>
      </c>
      <c r="HL19">
        <f t="shared" si="2"/>
        <v>11.86</v>
      </c>
      <c r="HM19" s="16">
        <f t="shared" si="3"/>
        <v>0.26699684826654657</v>
      </c>
      <c r="HN19">
        <f t="shared" si="9"/>
        <v>13.949999999999996</v>
      </c>
      <c r="HO19" s="16">
        <f t="shared" si="10"/>
        <v>0.38803894297635588</v>
      </c>
      <c r="HP19" s="26">
        <f t="shared" si="6"/>
        <v>2.0899999999999963</v>
      </c>
      <c r="HR19" s="16">
        <f>HQ19/FP19</f>
        <v>0</v>
      </c>
      <c r="HS19">
        <f>HE19-GG19</f>
        <v>-19.47</v>
      </c>
      <c r="HT19">
        <f>EZ19-EE19</f>
        <v>1.3000000000000007</v>
      </c>
      <c r="HU19" s="28">
        <f>(HT19/EE19)*100</f>
        <v>31.707317073170753</v>
      </c>
      <c r="HV19">
        <f>FX19-FL19</f>
        <v>-0.10000000000000053</v>
      </c>
      <c r="HW19" s="28">
        <f>(HV19/FL19)*100</f>
        <v>-1.9230769230769333</v>
      </c>
    </row>
    <row r="20" spans="1:255" s="21" customFormat="1" x14ac:dyDescent="0.35">
      <c r="A20" t="s">
        <v>187</v>
      </c>
      <c r="B20" t="s">
        <v>188</v>
      </c>
      <c r="C20" s="3">
        <v>24138</v>
      </c>
      <c r="D20">
        <v>57</v>
      </c>
      <c r="E20">
        <v>74.5</v>
      </c>
      <c r="F20">
        <v>165</v>
      </c>
      <c r="G20">
        <f t="shared" si="0"/>
        <v>1.65</v>
      </c>
      <c r="H20">
        <f t="shared" si="1"/>
        <v>27.364554637281913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61</v>
      </c>
      <c r="AG20">
        <v>0</v>
      </c>
      <c r="AH20">
        <v>0</v>
      </c>
      <c r="AI20">
        <v>0</v>
      </c>
      <c r="AJ20">
        <v>0</v>
      </c>
      <c r="AK20" s="3">
        <v>44971</v>
      </c>
      <c r="AL20" t="s">
        <v>189</v>
      </c>
      <c r="AM20"/>
      <c r="AN20">
        <v>0</v>
      </c>
      <c r="AO20">
        <v>0</v>
      </c>
      <c r="AP20">
        <v>0</v>
      </c>
      <c r="AQ20">
        <v>0</v>
      </c>
      <c r="AR20">
        <v>0</v>
      </c>
      <c r="AS20">
        <v>53</v>
      </c>
      <c r="AT20">
        <v>7</v>
      </c>
      <c r="AU20">
        <v>0</v>
      </c>
      <c r="AV20">
        <v>0</v>
      </c>
      <c r="AW20">
        <v>1</v>
      </c>
      <c r="AX20">
        <v>4</v>
      </c>
      <c r="AY20">
        <v>2</v>
      </c>
      <c r="AZ20">
        <v>0</v>
      </c>
      <c r="BA20"/>
      <c r="BB20">
        <v>12.64</v>
      </c>
      <c r="BC20">
        <v>7</v>
      </c>
      <c r="BD20">
        <v>154</v>
      </c>
      <c r="BE20">
        <v>61</v>
      </c>
      <c r="BF20">
        <v>15.4</v>
      </c>
      <c r="BG20">
        <v>282</v>
      </c>
      <c r="BH20">
        <v>126</v>
      </c>
      <c r="BI20">
        <v>92</v>
      </c>
      <c r="BJ20">
        <v>59</v>
      </c>
      <c r="BK20">
        <v>225</v>
      </c>
      <c r="BL20" t="s">
        <v>144</v>
      </c>
      <c r="BM20">
        <v>29.1</v>
      </c>
      <c r="BN20">
        <v>7.31</v>
      </c>
      <c r="BO20">
        <v>84</v>
      </c>
      <c r="BP20">
        <v>23</v>
      </c>
      <c r="BQ20">
        <v>12</v>
      </c>
      <c r="BR20">
        <v>7.1</v>
      </c>
      <c r="BS20">
        <v>28</v>
      </c>
      <c r="BT20">
        <v>32</v>
      </c>
      <c r="BU20">
        <v>2750</v>
      </c>
      <c r="BV20">
        <v>871</v>
      </c>
      <c r="BW20">
        <v>3820</v>
      </c>
      <c r="BX20">
        <v>506</v>
      </c>
      <c r="BY20" s="3">
        <v>44971</v>
      </c>
      <c r="BZ20">
        <v>0</v>
      </c>
      <c r="CA20">
        <v>74.5</v>
      </c>
      <c r="CB20">
        <v>7</v>
      </c>
      <c r="CC20">
        <v>0</v>
      </c>
      <c r="CD20">
        <v>0</v>
      </c>
      <c r="CE20">
        <v>1</v>
      </c>
      <c r="CF20">
        <v>4</v>
      </c>
      <c r="CG20">
        <v>2</v>
      </c>
      <c r="CH20">
        <v>0</v>
      </c>
      <c r="CI20">
        <v>12.64</v>
      </c>
      <c r="CJ20">
        <v>7</v>
      </c>
      <c r="CK20">
        <v>154</v>
      </c>
      <c r="CL20">
        <v>61</v>
      </c>
      <c r="CM20">
        <v>15.4</v>
      </c>
      <c r="CN20">
        <v>282</v>
      </c>
      <c r="CO20">
        <v>126</v>
      </c>
      <c r="CP20">
        <v>92</v>
      </c>
      <c r="CQ20">
        <v>59</v>
      </c>
      <c r="CR20">
        <v>225</v>
      </c>
      <c r="CS20" t="s">
        <v>144</v>
      </c>
      <c r="CT20">
        <v>29.1</v>
      </c>
      <c r="CU20">
        <v>7.31</v>
      </c>
      <c r="CV20">
        <v>84</v>
      </c>
      <c r="CW20">
        <v>23</v>
      </c>
      <c r="CX20">
        <v>12</v>
      </c>
      <c r="CY20">
        <v>7.1</v>
      </c>
      <c r="CZ20">
        <v>28</v>
      </c>
      <c r="DA20">
        <v>32</v>
      </c>
      <c r="DB20">
        <v>2750</v>
      </c>
      <c r="DC20">
        <v>871</v>
      </c>
      <c r="DD20">
        <v>3820</v>
      </c>
      <c r="DE20">
        <v>506</v>
      </c>
      <c r="DF20" t="s">
        <v>191</v>
      </c>
      <c r="DG20">
        <v>2</v>
      </c>
      <c r="DH20">
        <v>100</v>
      </c>
      <c r="DI20"/>
      <c r="DJ20">
        <v>0</v>
      </c>
      <c r="DK20">
        <v>0</v>
      </c>
      <c r="DL20"/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121</v>
      </c>
      <c r="DU20">
        <v>84</v>
      </c>
      <c r="DV20">
        <v>94</v>
      </c>
      <c r="DW20">
        <v>101</v>
      </c>
      <c r="DX20">
        <v>36.5</v>
      </c>
      <c r="DY20">
        <v>1</v>
      </c>
      <c r="DZ20">
        <v>0</v>
      </c>
      <c r="EA20">
        <v>0</v>
      </c>
      <c r="EB20" t="s">
        <v>144</v>
      </c>
      <c r="EC20" t="s">
        <v>144</v>
      </c>
      <c r="ED20">
        <v>2</v>
      </c>
      <c r="EE20">
        <v>6</v>
      </c>
      <c r="EF20">
        <v>60</v>
      </c>
      <c r="EG20">
        <v>16</v>
      </c>
      <c r="EH20">
        <v>0</v>
      </c>
      <c r="EI20">
        <v>0</v>
      </c>
      <c r="EJ20">
        <v>0</v>
      </c>
      <c r="EK20">
        <v>0.9</v>
      </c>
      <c r="EL20">
        <v>4.2</v>
      </c>
      <c r="EM20" t="s">
        <v>144</v>
      </c>
      <c r="EN20" t="s">
        <v>144</v>
      </c>
      <c r="EO20" t="s">
        <v>144</v>
      </c>
      <c r="EP20" t="s">
        <v>144</v>
      </c>
      <c r="EQ20">
        <v>4.0199999999999996</v>
      </c>
      <c r="ER20">
        <v>14.24</v>
      </c>
      <c r="ES20">
        <v>2</v>
      </c>
      <c r="ET20">
        <v>10.35</v>
      </c>
      <c r="EU20">
        <v>27.77</v>
      </c>
      <c r="EV20">
        <v>120</v>
      </c>
      <c r="EW20">
        <v>82</v>
      </c>
      <c r="EX20">
        <v>95</v>
      </c>
      <c r="EY20">
        <v>102</v>
      </c>
      <c r="EZ20">
        <v>11.4</v>
      </c>
      <c r="FA20" t="s">
        <v>144</v>
      </c>
      <c r="FB20" t="s">
        <v>144</v>
      </c>
      <c r="FC20" s="1">
        <v>3.12</v>
      </c>
      <c r="FD20">
        <v>18.88</v>
      </c>
      <c r="FE20">
        <v>2.6</v>
      </c>
      <c r="FF20">
        <v>11.9</v>
      </c>
      <c r="FG20">
        <v>28.56</v>
      </c>
      <c r="FH20">
        <v>123</v>
      </c>
      <c r="FI20">
        <v>82</v>
      </c>
      <c r="FJ20">
        <v>94</v>
      </c>
      <c r="FK20">
        <v>101</v>
      </c>
      <c r="FL20">
        <v>6.5</v>
      </c>
      <c r="FM20" t="s">
        <v>144</v>
      </c>
      <c r="FN20" t="s">
        <v>144</v>
      </c>
      <c r="FO20">
        <v>3.49</v>
      </c>
      <c r="FP20">
        <v>15.21</v>
      </c>
      <c r="FQ20">
        <v>2.74</v>
      </c>
      <c r="FR20">
        <v>10.93</v>
      </c>
      <c r="FS20">
        <v>39.119999999999997</v>
      </c>
      <c r="FT20">
        <v>121</v>
      </c>
      <c r="FU20">
        <v>79</v>
      </c>
      <c r="FV20">
        <v>93</v>
      </c>
      <c r="FW20">
        <v>108</v>
      </c>
      <c r="FX20">
        <v>8.1</v>
      </c>
      <c r="FY20"/>
      <c r="FZ20"/>
      <c r="GA20"/>
      <c r="GB20"/>
      <c r="GC20"/>
      <c r="GD20" t="s">
        <v>144</v>
      </c>
      <c r="GE20" t="s">
        <v>144</v>
      </c>
      <c r="GF20">
        <v>2.59</v>
      </c>
      <c r="GG20">
        <v>33.119999999999997</v>
      </c>
      <c r="GH20">
        <v>4.4800000000000004</v>
      </c>
      <c r="GI20">
        <v>22.52</v>
      </c>
      <c r="GJ20">
        <v>62.87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>
        <v>1</v>
      </c>
      <c r="HK20" s="3">
        <v>44954</v>
      </c>
      <c r="HL20">
        <f t="shared" si="2"/>
        <v>4.6399999999999988</v>
      </c>
      <c r="HM20" s="16">
        <f t="shared" si="3"/>
        <v>0.32584269662921339</v>
      </c>
      <c r="HN20">
        <f t="shared" si="9"/>
        <v>17.909999999999997</v>
      </c>
      <c r="HO20" s="16">
        <f t="shared" si="10"/>
        <v>1.1775147928994081</v>
      </c>
      <c r="HP20" s="26">
        <f t="shared" si="6"/>
        <v>13.269999999999998</v>
      </c>
      <c r="HQ20"/>
      <c r="HR20" s="16"/>
      <c r="HS20"/>
      <c r="HT20">
        <f>EZ20-EE20</f>
        <v>5.4</v>
      </c>
      <c r="HU20" s="28">
        <f>(HT20/EE20)*100</f>
        <v>90</v>
      </c>
      <c r="HV20">
        <f>FX20-FL20</f>
        <v>1.5999999999999996</v>
      </c>
      <c r="HW20" s="29">
        <f>(HV20/FL20)*100</f>
        <v>24.61538461538461</v>
      </c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</row>
    <row r="21" spans="1:255" x14ac:dyDescent="0.35">
      <c r="A21" t="s">
        <v>322</v>
      </c>
      <c r="B21" t="s">
        <v>323</v>
      </c>
      <c r="C21" s="3">
        <v>16157</v>
      </c>
      <c r="D21">
        <v>79</v>
      </c>
      <c r="E21">
        <v>53</v>
      </c>
      <c r="F21">
        <v>170</v>
      </c>
      <c r="G21">
        <f t="shared" si="0"/>
        <v>1.7</v>
      </c>
      <c r="H21">
        <f t="shared" si="1"/>
        <v>18.339100346020764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 t="s">
        <v>144</v>
      </c>
      <c r="AK21" s="3">
        <v>45138</v>
      </c>
      <c r="AL21" t="s">
        <v>40</v>
      </c>
      <c r="AN21">
        <v>0</v>
      </c>
      <c r="AO21">
        <v>0</v>
      </c>
      <c r="AP21">
        <v>0</v>
      </c>
      <c r="AQ21">
        <v>1</v>
      </c>
      <c r="AR21">
        <v>0</v>
      </c>
      <c r="AT21">
        <v>4</v>
      </c>
      <c r="AU21">
        <v>1</v>
      </c>
      <c r="AV21">
        <v>0</v>
      </c>
      <c r="AW21">
        <v>0</v>
      </c>
      <c r="AX21">
        <v>0</v>
      </c>
      <c r="AY21">
        <v>1</v>
      </c>
      <c r="AZ21">
        <v>2</v>
      </c>
      <c r="BB21">
        <v>0.75</v>
      </c>
      <c r="BC21">
        <v>7.4</v>
      </c>
      <c r="BD21">
        <v>62</v>
      </c>
      <c r="BE21">
        <v>53</v>
      </c>
      <c r="BF21">
        <v>5</v>
      </c>
      <c r="BG21">
        <v>61</v>
      </c>
      <c r="BH21">
        <v>133</v>
      </c>
      <c r="BI21">
        <v>100</v>
      </c>
      <c r="BJ21">
        <v>20</v>
      </c>
      <c r="BK21">
        <v>59</v>
      </c>
      <c r="BL21">
        <v>0.11</v>
      </c>
      <c r="BM21">
        <v>27.4</v>
      </c>
      <c r="BN21">
        <v>7.49</v>
      </c>
      <c r="BO21">
        <v>105</v>
      </c>
      <c r="BP21">
        <v>30</v>
      </c>
      <c r="BQ21">
        <v>23</v>
      </c>
      <c r="BR21">
        <v>0.8</v>
      </c>
      <c r="BU21">
        <v>18</v>
      </c>
      <c r="BV21">
        <v>29</v>
      </c>
      <c r="BW21">
        <v>452</v>
      </c>
      <c r="BX21">
        <v>32</v>
      </c>
      <c r="BY21" s="3">
        <v>45138</v>
      </c>
      <c r="BZ21">
        <v>1</v>
      </c>
      <c r="CA21">
        <v>53</v>
      </c>
      <c r="CB21">
        <v>4</v>
      </c>
      <c r="CC21">
        <v>1</v>
      </c>
      <c r="CD21">
        <v>0</v>
      </c>
      <c r="CE21">
        <v>0</v>
      </c>
      <c r="CF21">
        <v>0</v>
      </c>
      <c r="CG21">
        <v>1</v>
      </c>
      <c r="CH21">
        <v>2</v>
      </c>
      <c r="CI21">
        <v>0.75</v>
      </c>
      <c r="CJ21">
        <v>7.4</v>
      </c>
      <c r="CK21">
        <v>62</v>
      </c>
      <c r="CL21">
        <v>53</v>
      </c>
      <c r="CM21">
        <v>5</v>
      </c>
      <c r="CN21">
        <v>61</v>
      </c>
      <c r="CO21">
        <v>133</v>
      </c>
      <c r="CP21">
        <v>100</v>
      </c>
      <c r="CQ21">
        <v>20</v>
      </c>
      <c r="CR21">
        <v>59</v>
      </c>
      <c r="CS21">
        <v>0.11</v>
      </c>
      <c r="CT21">
        <v>27.4</v>
      </c>
      <c r="CU21">
        <v>7.49</v>
      </c>
      <c r="CV21">
        <v>105</v>
      </c>
      <c r="CW21">
        <v>30</v>
      </c>
      <c r="CX21">
        <v>23</v>
      </c>
      <c r="CY21">
        <v>0.8</v>
      </c>
      <c r="DB21">
        <v>18</v>
      </c>
      <c r="DC21">
        <v>29</v>
      </c>
      <c r="DD21">
        <v>452</v>
      </c>
      <c r="DE21">
        <v>32</v>
      </c>
      <c r="DF21">
        <v>1</v>
      </c>
      <c r="DG21">
        <v>2</v>
      </c>
      <c r="DH21">
        <v>100</v>
      </c>
      <c r="DI21">
        <v>500</v>
      </c>
      <c r="DJ21">
        <v>1</v>
      </c>
      <c r="DK21">
        <v>1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82</v>
      </c>
      <c r="DU21">
        <v>31</v>
      </c>
      <c r="DV21">
        <v>46</v>
      </c>
      <c r="DW21">
        <v>70</v>
      </c>
      <c r="DX21">
        <v>36.5</v>
      </c>
      <c r="DY21">
        <v>1</v>
      </c>
      <c r="DZ21">
        <v>0</v>
      </c>
      <c r="EA21">
        <v>0</v>
      </c>
      <c r="EB21">
        <v>0</v>
      </c>
      <c r="ED21">
        <v>0</v>
      </c>
      <c r="EE21">
        <v>3.5</v>
      </c>
      <c r="EF21">
        <v>50</v>
      </c>
      <c r="EG21">
        <v>13</v>
      </c>
      <c r="EH21">
        <v>100</v>
      </c>
      <c r="EI21">
        <v>0</v>
      </c>
      <c r="EJ21">
        <v>0</v>
      </c>
      <c r="EK21">
        <v>1</v>
      </c>
      <c r="EL21">
        <v>7</v>
      </c>
      <c r="EM21" t="s">
        <v>144</v>
      </c>
      <c r="EN21" t="s">
        <v>144</v>
      </c>
      <c r="EO21" t="s">
        <v>144</v>
      </c>
      <c r="EP21">
        <v>3</v>
      </c>
      <c r="EQ21">
        <v>2.7</v>
      </c>
      <c r="ER21">
        <v>33.119999999999997</v>
      </c>
      <c r="ES21">
        <v>25.8</v>
      </c>
      <c r="ET21">
        <v>17.8</v>
      </c>
      <c r="EU21">
        <v>260.7</v>
      </c>
      <c r="EV21">
        <v>93</v>
      </c>
      <c r="EW21">
        <v>37</v>
      </c>
      <c r="EX21">
        <v>58</v>
      </c>
      <c r="EY21">
        <v>87</v>
      </c>
      <c r="EZ21">
        <v>5.0999999999999996</v>
      </c>
      <c r="FA21" t="s">
        <v>144</v>
      </c>
      <c r="FB21">
        <v>3</v>
      </c>
      <c r="FC21">
        <v>1.98</v>
      </c>
      <c r="FD21">
        <v>46.23</v>
      </c>
      <c r="FH21">
        <v>104</v>
      </c>
      <c r="FI21">
        <v>46</v>
      </c>
      <c r="FJ21">
        <v>65</v>
      </c>
      <c r="FK21">
        <v>87</v>
      </c>
      <c r="FL21">
        <v>3.6</v>
      </c>
      <c r="FM21" t="s">
        <v>144</v>
      </c>
      <c r="FN21">
        <v>3</v>
      </c>
      <c r="FO21">
        <v>2.6</v>
      </c>
      <c r="FP21">
        <v>21.6</v>
      </c>
      <c r="FT21">
        <v>100</v>
      </c>
      <c r="FU21">
        <v>42</v>
      </c>
      <c r="FV21">
        <v>60</v>
      </c>
      <c r="FW21">
        <v>81</v>
      </c>
      <c r="FX21">
        <v>4.2</v>
      </c>
      <c r="GE21">
        <v>2</v>
      </c>
      <c r="GF21">
        <v>2.1</v>
      </c>
      <c r="GG21">
        <v>40.119999999999997</v>
      </c>
      <c r="GK21">
        <v>104</v>
      </c>
      <c r="GL21">
        <v>45</v>
      </c>
      <c r="GM21">
        <v>65</v>
      </c>
      <c r="GN21">
        <v>80</v>
      </c>
      <c r="GO21">
        <v>4</v>
      </c>
      <c r="GP21" t="s">
        <v>144</v>
      </c>
      <c r="GQ21">
        <v>2</v>
      </c>
      <c r="GR21">
        <v>2.8</v>
      </c>
      <c r="GS21">
        <v>21.02</v>
      </c>
      <c r="GW21">
        <v>103</v>
      </c>
      <c r="GX21">
        <v>43</v>
      </c>
      <c r="GY21">
        <v>64</v>
      </c>
      <c r="GZ21">
        <v>83</v>
      </c>
      <c r="HA21">
        <v>4.0999999999999996</v>
      </c>
      <c r="HC21">
        <v>2</v>
      </c>
      <c r="HD21">
        <v>2.5</v>
      </c>
      <c r="HE21">
        <v>27.2</v>
      </c>
      <c r="HL21">
        <f t="shared" si="2"/>
        <v>13.11</v>
      </c>
      <c r="HM21" s="16">
        <f t="shared" si="3"/>
        <v>0.39583333333333337</v>
      </c>
      <c r="HN21">
        <f t="shared" si="9"/>
        <v>18.519999999999996</v>
      </c>
      <c r="HO21" s="16">
        <f t="shared" si="10"/>
        <v>0.85740740740740717</v>
      </c>
      <c r="HP21" s="26">
        <f t="shared" si="6"/>
        <v>5.4099999999999966</v>
      </c>
      <c r="HQ21">
        <f>HE21-FP21</f>
        <v>5.5999999999999979</v>
      </c>
      <c r="HR21" s="16">
        <f>HQ21/FP21</f>
        <v>0.25925925925925913</v>
      </c>
      <c r="HS21">
        <f>HE21-GG21</f>
        <v>-12.919999999999998</v>
      </c>
      <c r="HT21">
        <f>EZ21-EE21</f>
        <v>1.5999999999999996</v>
      </c>
      <c r="HU21" s="28">
        <f>(HT21/EE21)*100</f>
        <v>45.714285714285701</v>
      </c>
      <c r="HV21">
        <f>FX21-FL21</f>
        <v>0.60000000000000009</v>
      </c>
      <c r="HW21" s="29">
        <f>(HV21/FL21)*100</f>
        <v>16.666666666666668</v>
      </c>
    </row>
    <row r="22" spans="1:255" x14ac:dyDescent="0.35">
      <c r="A22" t="s">
        <v>142</v>
      </c>
      <c r="B22" t="s">
        <v>143</v>
      </c>
      <c r="C22" s="3">
        <v>26819</v>
      </c>
      <c r="D22">
        <v>49</v>
      </c>
      <c r="E22">
        <v>55</v>
      </c>
      <c r="F22">
        <v>161</v>
      </c>
      <c r="G22">
        <f t="shared" si="0"/>
        <v>1.61</v>
      </c>
      <c r="H22">
        <f t="shared" si="1"/>
        <v>21.218317194552675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144</v>
      </c>
      <c r="AG22">
        <v>0</v>
      </c>
      <c r="AH22">
        <v>0</v>
      </c>
      <c r="AI22">
        <v>0</v>
      </c>
      <c r="AJ22">
        <v>0</v>
      </c>
      <c r="AK22" s="3">
        <v>44957</v>
      </c>
      <c r="AL22" t="s">
        <v>172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15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B22">
        <v>8.1</v>
      </c>
      <c r="BC22">
        <v>8.3000000000000007</v>
      </c>
      <c r="BD22">
        <v>547</v>
      </c>
      <c r="BE22">
        <v>73</v>
      </c>
      <c r="BF22">
        <v>3.9</v>
      </c>
      <c r="BG22">
        <v>48</v>
      </c>
      <c r="BH22">
        <v>129</v>
      </c>
      <c r="BI22">
        <v>98</v>
      </c>
      <c r="BJ22">
        <v>23</v>
      </c>
      <c r="BK22">
        <v>102</v>
      </c>
      <c r="BL22" t="s">
        <v>144</v>
      </c>
      <c r="BM22" t="s">
        <v>144</v>
      </c>
      <c r="BN22" t="s">
        <v>144</v>
      </c>
      <c r="BO22" t="s">
        <v>144</v>
      </c>
      <c r="BP22" t="s">
        <v>144</v>
      </c>
      <c r="BQ22">
        <v>24</v>
      </c>
      <c r="BR22" t="s">
        <v>144</v>
      </c>
      <c r="BS22">
        <v>78</v>
      </c>
      <c r="BT22">
        <v>76</v>
      </c>
      <c r="BU22">
        <v>45</v>
      </c>
      <c r="BV22">
        <v>41</v>
      </c>
      <c r="BW22">
        <v>436</v>
      </c>
      <c r="BX22">
        <v>84</v>
      </c>
      <c r="BY22" s="3">
        <v>44958</v>
      </c>
      <c r="BZ22">
        <v>17</v>
      </c>
      <c r="CA22">
        <v>55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26.55</v>
      </c>
      <c r="CJ22">
        <v>7.6</v>
      </c>
      <c r="CK22">
        <v>629</v>
      </c>
      <c r="CL22">
        <v>79</v>
      </c>
      <c r="CM22">
        <v>4.4000000000000004</v>
      </c>
      <c r="CN22">
        <v>46</v>
      </c>
      <c r="CO22">
        <v>131</v>
      </c>
      <c r="CP22">
        <v>99</v>
      </c>
      <c r="CQ22">
        <v>30</v>
      </c>
      <c r="CR22">
        <v>102</v>
      </c>
      <c r="CS22" t="s">
        <v>144</v>
      </c>
      <c r="CT22">
        <v>16.7</v>
      </c>
      <c r="CU22">
        <v>7.39</v>
      </c>
      <c r="CV22">
        <v>84</v>
      </c>
      <c r="CW22">
        <v>33</v>
      </c>
      <c r="CX22">
        <v>20</v>
      </c>
      <c r="CY22">
        <v>2.4</v>
      </c>
      <c r="CZ22">
        <v>72</v>
      </c>
      <c r="DA22" t="s">
        <v>144</v>
      </c>
      <c r="DB22">
        <v>62</v>
      </c>
      <c r="DC22">
        <v>37</v>
      </c>
      <c r="DD22">
        <v>576</v>
      </c>
      <c r="DE22">
        <v>1416</v>
      </c>
      <c r="DF22">
        <v>3</v>
      </c>
      <c r="DG22">
        <v>2</v>
      </c>
      <c r="DH22">
        <v>100</v>
      </c>
      <c r="DI22">
        <v>2250</v>
      </c>
      <c r="DJ22">
        <v>1</v>
      </c>
      <c r="DK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151</v>
      </c>
      <c r="DU22">
        <v>91</v>
      </c>
      <c r="DV22">
        <v>108</v>
      </c>
      <c r="DW22">
        <v>134</v>
      </c>
      <c r="DX22">
        <v>36.799999999999997</v>
      </c>
      <c r="DY22">
        <v>1</v>
      </c>
      <c r="DZ22">
        <v>0</v>
      </c>
      <c r="EA22">
        <v>0</v>
      </c>
      <c r="EB22" t="s">
        <v>176</v>
      </c>
      <c r="EC22" t="s">
        <v>176</v>
      </c>
      <c r="ED22">
        <v>0</v>
      </c>
      <c r="EE22">
        <v>6.1</v>
      </c>
      <c r="EF22">
        <v>60</v>
      </c>
      <c r="EG22">
        <v>9</v>
      </c>
      <c r="EH22">
        <v>50</v>
      </c>
      <c r="EI22">
        <v>0</v>
      </c>
      <c r="EJ22">
        <v>0</v>
      </c>
      <c r="EK22">
        <v>0.8</v>
      </c>
      <c r="EL22">
        <v>7.2</v>
      </c>
      <c r="EM22" t="s">
        <v>144</v>
      </c>
      <c r="EN22" t="s">
        <v>144</v>
      </c>
      <c r="EO22" t="s">
        <v>144</v>
      </c>
      <c r="EP22">
        <v>1</v>
      </c>
      <c r="EQ22">
        <v>2.29</v>
      </c>
      <c r="ER22">
        <v>29.24</v>
      </c>
      <c r="ES22">
        <v>3.93</v>
      </c>
      <c r="ET22">
        <v>24.23</v>
      </c>
      <c r="EU22">
        <v>53.04</v>
      </c>
      <c r="EV22">
        <v>150</v>
      </c>
      <c r="EW22">
        <v>88</v>
      </c>
      <c r="EX22">
        <v>109</v>
      </c>
      <c r="EY22">
        <v>134</v>
      </c>
      <c r="EZ22">
        <v>7.1</v>
      </c>
      <c r="FA22" t="s">
        <v>144</v>
      </c>
      <c r="FB22">
        <v>1</v>
      </c>
      <c r="FC22">
        <v>2.19</v>
      </c>
      <c r="FD22">
        <v>35.119999999999997</v>
      </c>
      <c r="FE22">
        <v>3.48</v>
      </c>
      <c r="FF22">
        <v>26.89</v>
      </c>
      <c r="FG22">
        <v>54.57</v>
      </c>
      <c r="FH22">
        <v>162</v>
      </c>
      <c r="FI22">
        <v>101</v>
      </c>
      <c r="FJ22">
        <v>121</v>
      </c>
      <c r="FK22">
        <v>135</v>
      </c>
      <c r="FL22">
        <v>6.1</v>
      </c>
      <c r="FM22" t="s">
        <v>144</v>
      </c>
      <c r="FN22">
        <v>1</v>
      </c>
      <c r="FO22">
        <v>2.25</v>
      </c>
      <c r="FP22">
        <v>34.57</v>
      </c>
      <c r="FQ22">
        <v>4.92</v>
      </c>
      <c r="FR22">
        <v>27.44</v>
      </c>
      <c r="FS22">
        <v>67.319999999999993</v>
      </c>
      <c r="FT22">
        <v>163</v>
      </c>
      <c r="FU22">
        <v>98</v>
      </c>
      <c r="FV22">
        <v>116</v>
      </c>
      <c r="FW22">
        <v>133</v>
      </c>
      <c r="FX22">
        <v>5.9</v>
      </c>
      <c r="GD22" t="s">
        <v>144</v>
      </c>
      <c r="GE22">
        <v>0</v>
      </c>
      <c r="GF22">
        <v>2.12</v>
      </c>
      <c r="GG22">
        <v>53.32</v>
      </c>
      <c r="GH22">
        <v>2.92</v>
      </c>
      <c r="GI22">
        <v>46.02</v>
      </c>
      <c r="GJ22">
        <v>68.88</v>
      </c>
      <c r="HL22">
        <f t="shared" si="2"/>
        <v>5.879999999999999</v>
      </c>
      <c r="HM22" s="16">
        <f t="shared" si="3"/>
        <v>0.20109439124487002</v>
      </c>
      <c r="HN22">
        <f t="shared" si="9"/>
        <v>18.75</v>
      </c>
      <c r="HO22" s="16">
        <f t="shared" si="10"/>
        <v>0.54237778420595895</v>
      </c>
      <c r="HP22" s="26">
        <f t="shared" si="6"/>
        <v>12.870000000000001</v>
      </c>
      <c r="HR22" s="16"/>
      <c r="HT22">
        <f>EZ22-EE22</f>
        <v>1</v>
      </c>
      <c r="HU22" s="28">
        <f>(HT22/EE22)*100</f>
        <v>16.393442622950822</v>
      </c>
      <c r="HV22">
        <f>FX22-FL22</f>
        <v>-0.19999999999999929</v>
      </c>
      <c r="HW22" s="28">
        <f>(HV22/FL22)*100</f>
        <v>-3.2786885245901525</v>
      </c>
    </row>
    <row r="23" spans="1:255" x14ac:dyDescent="0.35">
      <c r="A23" t="s">
        <v>372</v>
      </c>
      <c r="B23" t="s">
        <v>373</v>
      </c>
      <c r="C23" s="3">
        <v>21539</v>
      </c>
      <c r="D23">
        <v>64</v>
      </c>
      <c r="F23">
        <v>160</v>
      </c>
      <c r="G23">
        <f t="shared" si="0"/>
        <v>1.6</v>
      </c>
      <c r="H23">
        <f t="shared" si="1"/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K23" s="3">
        <v>45214</v>
      </c>
      <c r="AL23" t="s">
        <v>39</v>
      </c>
      <c r="AN23">
        <v>0</v>
      </c>
      <c r="AO23">
        <v>0</v>
      </c>
      <c r="AP23">
        <v>1</v>
      </c>
      <c r="AQ23">
        <v>0</v>
      </c>
      <c r="AR23">
        <v>0</v>
      </c>
      <c r="AT23">
        <v>9</v>
      </c>
      <c r="AU23">
        <v>4</v>
      </c>
      <c r="AV23">
        <v>1</v>
      </c>
      <c r="AW23">
        <v>0</v>
      </c>
      <c r="AX23">
        <v>0</v>
      </c>
      <c r="AY23">
        <v>2</v>
      </c>
      <c r="AZ23">
        <v>2</v>
      </c>
      <c r="BB23">
        <v>5.7</v>
      </c>
      <c r="BC23">
        <v>7.3</v>
      </c>
      <c r="BD23">
        <v>68</v>
      </c>
      <c r="BE23">
        <v>52</v>
      </c>
      <c r="BF23">
        <v>6.4</v>
      </c>
      <c r="BG23">
        <v>68</v>
      </c>
      <c r="BH23">
        <v>137</v>
      </c>
      <c r="BI23">
        <v>102</v>
      </c>
      <c r="BJ23">
        <v>40</v>
      </c>
      <c r="BK23">
        <v>39</v>
      </c>
      <c r="BL23">
        <v>0.2</v>
      </c>
      <c r="BM23">
        <v>17.5</v>
      </c>
      <c r="BN23">
        <v>7.5</v>
      </c>
      <c r="BO23">
        <v>386</v>
      </c>
      <c r="BP23">
        <v>37</v>
      </c>
      <c r="BQ23">
        <v>29</v>
      </c>
      <c r="BR23">
        <v>2.1</v>
      </c>
      <c r="BS23">
        <v>53</v>
      </c>
      <c r="BT23">
        <v>62</v>
      </c>
      <c r="BU23">
        <v>28</v>
      </c>
      <c r="BV23">
        <v>16</v>
      </c>
      <c r="BW23">
        <v>419</v>
      </c>
      <c r="BX23">
        <v>58</v>
      </c>
      <c r="BY23" s="3">
        <v>45216</v>
      </c>
      <c r="BZ23">
        <v>42</v>
      </c>
      <c r="CB23">
        <v>5</v>
      </c>
      <c r="CC23">
        <v>1</v>
      </c>
      <c r="CD23">
        <v>0</v>
      </c>
      <c r="CE23">
        <v>0</v>
      </c>
      <c r="CF23">
        <v>0</v>
      </c>
      <c r="CG23">
        <v>2</v>
      </c>
      <c r="CH23">
        <v>2</v>
      </c>
      <c r="CI23">
        <v>11.15</v>
      </c>
      <c r="CJ23">
        <v>7.3</v>
      </c>
      <c r="CK23">
        <v>78</v>
      </c>
      <c r="CM23">
        <v>6.6</v>
      </c>
      <c r="CN23">
        <v>92</v>
      </c>
      <c r="CO23">
        <v>138</v>
      </c>
      <c r="CP23">
        <v>107</v>
      </c>
      <c r="CQ23">
        <v>39</v>
      </c>
      <c r="DB23">
        <v>46</v>
      </c>
      <c r="DC23">
        <v>28</v>
      </c>
      <c r="DD23">
        <v>403</v>
      </c>
      <c r="DE23">
        <v>125</v>
      </c>
      <c r="DF23">
        <v>1</v>
      </c>
      <c r="DG23">
        <v>2</v>
      </c>
      <c r="DH23">
        <v>100</v>
      </c>
      <c r="DJ23">
        <v>0</v>
      </c>
      <c r="DK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102</v>
      </c>
      <c r="DU23">
        <v>48</v>
      </c>
      <c r="DV23">
        <v>70</v>
      </c>
      <c r="DW23">
        <v>86</v>
      </c>
      <c r="DX23">
        <v>36.700000000000003</v>
      </c>
      <c r="DY23">
        <v>1</v>
      </c>
      <c r="DZ23">
        <v>0</v>
      </c>
      <c r="EA23">
        <v>0</v>
      </c>
      <c r="EB23">
        <v>0</v>
      </c>
      <c r="EC23">
        <v>0</v>
      </c>
      <c r="ED23">
        <v>0</v>
      </c>
      <c r="EP23">
        <v>0</v>
      </c>
      <c r="EQ23">
        <v>2.2000000000000002</v>
      </c>
      <c r="ER23">
        <v>94.01</v>
      </c>
      <c r="EV23">
        <v>101</v>
      </c>
      <c r="EW23">
        <v>46</v>
      </c>
      <c r="EX23">
        <v>67</v>
      </c>
      <c r="EY23">
        <v>85</v>
      </c>
      <c r="FC23">
        <v>1.6</v>
      </c>
      <c r="FD23">
        <v>131.31</v>
      </c>
      <c r="FH23">
        <v>104</v>
      </c>
      <c r="FI23">
        <v>47</v>
      </c>
      <c r="FJ23">
        <v>67</v>
      </c>
      <c r="FK23">
        <v>79</v>
      </c>
      <c r="FO23">
        <v>1.8</v>
      </c>
      <c r="FP23">
        <v>111.14</v>
      </c>
      <c r="FT23">
        <v>102</v>
      </c>
      <c r="FU23">
        <v>49</v>
      </c>
      <c r="FV23">
        <v>68</v>
      </c>
      <c r="FW23">
        <v>87</v>
      </c>
      <c r="GF23">
        <v>1.04</v>
      </c>
      <c r="GG23">
        <v>132.13999999999999</v>
      </c>
      <c r="GW23">
        <v>99</v>
      </c>
      <c r="GX23">
        <v>49</v>
      </c>
      <c r="GY23">
        <v>68</v>
      </c>
      <c r="GZ23">
        <v>91</v>
      </c>
      <c r="HD23">
        <v>1.02</v>
      </c>
      <c r="HE23">
        <v>183.76</v>
      </c>
      <c r="HL23">
        <f t="shared" si="2"/>
        <v>37.299999999999997</v>
      </c>
      <c r="HM23" s="16">
        <f t="shared" si="3"/>
        <v>0.39676630145729175</v>
      </c>
      <c r="HN23">
        <f t="shared" si="9"/>
        <v>20.999999999999986</v>
      </c>
      <c r="HO23" s="16">
        <f t="shared" si="10"/>
        <v>0.18895087277307887</v>
      </c>
      <c r="HP23" s="26">
        <f t="shared" si="6"/>
        <v>-16.300000000000011</v>
      </c>
      <c r="HQ23">
        <f t="shared" ref="HQ23:HQ29" si="11">HE23-FP23</f>
        <v>72.61999999999999</v>
      </c>
      <c r="HU23" s="28"/>
      <c r="HW23" s="28"/>
    </row>
    <row r="24" spans="1:255" x14ac:dyDescent="0.35">
      <c r="A24" t="s">
        <v>348</v>
      </c>
      <c r="B24" t="s">
        <v>349</v>
      </c>
      <c r="C24" s="3">
        <v>21115</v>
      </c>
      <c r="D24">
        <v>65</v>
      </c>
      <c r="E24">
        <v>81</v>
      </c>
      <c r="F24">
        <v>157</v>
      </c>
      <c r="G24">
        <f t="shared" si="0"/>
        <v>1.57</v>
      </c>
      <c r="H24">
        <f t="shared" si="1"/>
        <v>32.86137368655929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K24" s="3">
        <v>45178</v>
      </c>
      <c r="AL24" t="s">
        <v>39</v>
      </c>
      <c r="AN24">
        <v>0</v>
      </c>
      <c r="AO24">
        <v>0</v>
      </c>
      <c r="AP24">
        <v>1</v>
      </c>
      <c r="AQ24">
        <v>0</v>
      </c>
      <c r="AR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B24">
        <v>12.9</v>
      </c>
      <c r="BC24">
        <v>7.2</v>
      </c>
      <c r="BD24">
        <v>218</v>
      </c>
      <c r="BE24">
        <v>45</v>
      </c>
      <c r="BF24">
        <v>5</v>
      </c>
      <c r="BG24">
        <v>62</v>
      </c>
      <c r="BH24">
        <v>139</v>
      </c>
      <c r="BI24">
        <v>111</v>
      </c>
      <c r="BJ24">
        <v>4</v>
      </c>
      <c r="BK24">
        <v>4</v>
      </c>
      <c r="BM24">
        <v>23.7</v>
      </c>
      <c r="BN24">
        <v>7.37</v>
      </c>
      <c r="BO24">
        <v>84</v>
      </c>
      <c r="BP24">
        <v>44</v>
      </c>
      <c r="BQ24">
        <v>25</v>
      </c>
      <c r="BR24">
        <v>0.7</v>
      </c>
      <c r="BS24">
        <v>76</v>
      </c>
      <c r="BU24">
        <v>16</v>
      </c>
      <c r="BV24">
        <v>16</v>
      </c>
      <c r="BW24">
        <v>270</v>
      </c>
      <c r="BX24">
        <v>18</v>
      </c>
      <c r="BY24" s="3">
        <v>45178</v>
      </c>
      <c r="BZ24">
        <v>7</v>
      </c>
      <c r="CA24">
        <v>81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12.9</v>
      </c>
      <c r="CJ24">
        <v>7.2</v>
      </c>
      <c r="CK24">
        <v>218</v>
      </c>
      <c r="CL24">
        <v>45</v>
      </c>
      <c r="CM24">
        <v>5</v>
      </c>
      <c r="CN24">
        <v>62</v>
      </c>
      <c r="CO24">
        <v>139</v>
      </c>
      <c r="CP24">
        <v>111</v>
      </c>
      <c r="CQ24">
        <v>4</v>
      </c>
      <c r="CR24">
        <v>4</v>
      </c>
      <c r="CT24">
        <v>23.7</v>
      </c>
      <c r="CU24">
        <v>7.37</v>
      </c>
      <c r="CV24">
        <v>84</v>
      </c>
      <c r="CW24">
        <v>44</v>
      </c>
      <c r="CX24">
        <v>25</v>
      </c>
      <c r="CY24">
        <v>0.7</v>
      </c>
      <c r="CZ24">
        <v>76</v>
      </c>
      <c r="DB24">
        <v>16</v>
      </c>
      <c r="DC24">
        <v>16</v>
      </c>
      <c r="DD24">
        <v>270</v>
      </c>
      <c r="DE24">
        <v>18</v>
      </c>
      <c r="DF24">
        <v>2</v>
      </c>
      <c r="DG24">
        <v>1</v>
      </c>
      <c r="DH24">
        <v>100</v>
      </c>
      <c r="DI24">
        <v>1000</v>
      </c>
      <c r="DJ24">
        <v>1</v>
      </c>
      <c r="DK24">
        <v>100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128</v>
      </c>
      <c r="DU24">
        <v>54</v>
      </c>
      <c r="DV24">
        <v>78</v>
      </c>
      <c r="DW24">
        <v>86</v>
      </c>
      <c r="DX24">
        <v>36.5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2</v>
      </c>
      <c r="EE24">
        <v>5.6</v>
      </c>
      <c r="EF24">
        <v>50</v>
      </c>
      <c r="EG24" t="s">
        <v>144</v>
      </c>
      <c r="EH24" t="s">
        <v>144</v>
      </c>
      <c r="EI24">
        <v>0</v>
      </c>
      <c r="EJ24">
        <v>0</v>
      </c>
      <c r="EK24">
        <v>0.6</v>
      </c>
      <c r="EL24">
        <v>11.1</v>
      </c>
      <c r="EM24">
        <v>13</v>
      </c>
      <c r="EN24" t="s">
        <v>144</v>
      </c>
      <c r="EO24" t="s">
        <v>144</v>
      </c>
      <c r="EP24">
        <v>2</v>
      </c>
      <c r="EQ24">
        <v>4.0999999999999996</v>
      </c>
      <c r="ER24">
        <v>14.84</v>
      </c>
      <c r="ES24">
        <v>2.8</v>
      </c>
      <c r="ET24">
        <v>8.5</v>
      </c>
      <c r="EU24">
        <v>21.6</v>
      </c>
      <c r="EV24">
        <v>128</v>
      </c>
      <c r="EW24">
        <v>57</v>
      </c>
      <c r="EX24">
        <v>81</v>
      </c>
      <c r="EY24">
        <v>88</v>
      </c>
      <c r="EZ24">
        <v>6.4</v>
      </c>
      <c r="FB24">
        <v>2</v>
      </c>
      <c r="FC24">
        <v>3.2</v>
      </c>
      <c r="FD24">
        <v>30.23</v>
      </c>
      <c r="FH24">
        <v>125</v>
      </c>
      <c r="FI24">
        <v>61</v>
      </c>
      <c r="FJ24">
        <v>82</v>
      </c>
      <c r="FK24">
        <v>89</v>
      </c>
      <c r="FL24">
        <v>5.0999999999999996</v>
      </c>
      <c r="FM24">
        <v>15</v>
      </c>
      <c r="FN24">
        <v>2</v>
      </c>
      <c r="FO24">
        <v>4.05</v>
      </c>
      <c r="FP24">
        <v>14.14</v>
      </c>
      <c r="FT24">
        <v>113</v>
      </c>
      <c r="FU24">
        <v>83</v>
      </c>
      <c r="FV24">
        <v>94</v>
      </c>
      <c r="FW24">
        <v>90</v>
      </c>
      <c r="FX24">
        <v>6.4</v>
      </c>
      <c r="FY24">
        <v>50</v>
      </c>
      <c r="FZ24">
        <v>0.7</v>
      </c>
      <c r="GB24">
        <v>11</v>
      </c>
      <c r="GC24">
        <v>50</v>
      </c>
      <c r="GE24">
        <v>1</v>
      </c>
      <c r="GF24">
        <v>2.4</v>
      </c>
      <c r="GG24">
        <v>37.67</v>
      </c>
      <c r="GK24">
        <v>1</v>
      </c>
      <c r="GW24">
        <v>130</v>
      </c>
      <c r="GX24">
        <v>61</v>
      </c>
      <c r="GY24">
        <v>85</v>
      </c>
      <c r="GZ24">
        <v>87</v>
      </c>
      <c r="HA24">
        <v>6</v>
      </c>
      <c r="HC24">
        <v>1</v>
      </c>
      <c r="HD24">
        <v>2.7</v>
      </c>
      <c r="HE24">
        <v>28.41</v>
      </c>
      <c r="HL24">
        <f t="shared" si="2"/>
        <v>15.39</v>
      </c>
      <c r="HM24" s="16">
        <f t="shared" si="3"/>
        <v>1.0370619946091644</v>
      </c>
      <c r="HN24">
        <f t="shared" si="9"/>
        <v>23.53</v>
      </c>
      <c r="HO24" s="16">
        <f t="shared" si="10"/>
        <v>1.6640735502121642</v>
      </c>
      <c r="HP24" s="26">
        <f t="shared" si="6"/>
        <v>8.14</v>
      </c>
      <c r="HQ24">
        <f t="shared" si="11"/>
        <v>14.27</v>
      </c>
      <c r="HR24" s="16">
        <f>HQ24/FP24</f>
        <v>1.0091937765205092</v>
      </c>
      <c r="HS24">
        <f>HE24-GG24</f>
        <v>-9.2600000000000016</v>
      </c>
      <c r="HT24">
        <f>EZ24-EE24</f>
        <v>0.80000000000000071</v>
      </c>
      <c r="HU24" s="28">
        <f>(HT24/EE24)*100</f>
        <v>14.285714285714299</v>
      </c>
      <c r="HV24">
        <f>FX24-FL24</f>
        <v>1.3000000000000007</v>
      </c>
      <c r="HW24" s="29">
        <f>(HV24/FL24)*100</f>
        <v>25.490196078431389</v>
      </c>
    </row>
    <row r="25" spans="1:255" x14ac:dyDescent="0.35">
      <c r="A25" t="s">
        <v>336</v>
      </c>
      <c r="B25" t="s">
        <v>337</v>
      </c>
      <c r="C25" s="3">
        <v>38384</v>
      </c>
      <c r="D25">
        <v>18</v>
      </c>
      <c r="E25">
        <v>77</v>
      </c>
      <c r="F25">
        <v>170</v>
      </c>
      <c r="G25">
        <f t="shared" si="0"/>
        <v>1.7</v>
      </c>
      <c r="H25">
        <f t="shared" si="1"/>
        <v>26.643598615916957</v>
      </c>
      <c r="I25">
        <v>1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144</v>
      </c>
      <c r="AK25" s="3">
        <v>45172</v>
      </c>
      <c r="AL25" t="s">
        <v>338</v>
      </c>
      <c r="AN25">
        <v>0</v>
      </c>
      <c r="AO25">
        <v>0</v>
      </c>
      <c r="AP25">
        <v>0</v>
      </c>
      <c r="AQ25">
        <v>1</v>
      </c>
      <c r="AR25">
        <v>0</v>
      </c>
      <c r="AT25">
        <v>3</v>
      </c>
      <c r="AU25">
        <v>1</v>
      </c>
      <c r="AV25">
        <v>0</v>
      </c>
      <c r="AW25">
        <v>1</v>
      </c>
      <c r="AX25">
        <v>1</v>
      </c>
      <c r="AY25">
        <v>0</v>
      </c>
      <c r="AZ25">
        <v>0</v>
      </c>
      <c r="BB25">
        <v>24.4</v>
      </c>
      <c r="BC25">
        <v>13.1</v>
      </c>
      <c r="BD25">
        <v>204</v>
      </c>
      <c r="BE25">
        <v>69</v>
      </c>
      <c r="BF25">
        <v>8.6</v>
      </c>
      <c r="BG25">
        <v>113</v>
      </c>
      <c r="BH25">
        <v>136</v>
      </c>
      <c r="BI25">
        <v>103</v>
      </c>
      <c r="BJ25">
        <v>7</v>
      </c>
      <c r="BK25">
        <v>54</v>
      </c>
      <c r="BL25">
        <v>23.7</v>
      </c>
      <c r="BM25" t="s">
        <v>144</v>
      </c>
      <c r="BN25">
        <v>6.9</v>
      </c>
      <c r="BO25">
        <v>131</v>
      </c>
      <c r="BP25">
        <v>14</v>
      </c>
      <c r="BQ25">
        <v>3</v>
      </c>
      <c r="BR25">
        <v>4.5</v>
      </c>
      <c r="BS25">
        <v>65</v>
      </c>
      <c r="BT25">
        <v>240</v>
      </c>
      <c r="BU25">
        <v>20</v>
      </c>
      <c r="BV25">
        <v>17</v>
      </c>
      <c r="BW25">
        <v>850</v>
      </c>
      <c r="BX25">
        <v>74</v>
      </c>
      <c r="BY25" s="3">
        <v>45173</v>
      </c>
      <c r="BZ25">
        <v>17</v>
      </c>
      <c r="CA25">
        <v>77</v>
      </c>
      <c r="CB25">
        <v>3</v>
      </c>
      <c r="CC25">
        <v>1</v>
      </c>
      <c r="CD25">
        <v>0</v>
      </c>
      <c r="CE25">
        <v>1</v>
      </c>
      <c r="CF25">
        <v>1</v>
      </c>
      <c r="CG25">
        <v>0</v>
      </c>
      <c r="CH25">
        <v>0</v>
      </c>
      <c r="CI25">
        <v>24.4</v>
      </c>
      <c r="CJ25">
        <v>13.1</v>
      </c>
      <c r="CK25">
        <v>204</v>
      </c>
      <c r="CL25">
        <v>69</v>
      </c>
      <c r="CM25">
        <v>8.6</v>
      </c>
      <c r="CN25">
        <v>113</v>
      </c>
      <c r="CO25">
        <v>136</v>
      </c>
      <c r="CP25">
        <v>103</v>
      </c>
      <c r="CQ25">
        <v>7</v>
      </c>
      <c r="CR25">
        <v>54</v>
      </c>
      <c r="CS25">
        <v>23.7</v>
      </c>
      <c r="CT25" t="s">
        <v>144</v>
      </c>
      <c r="CU25">
        <v>6.9</v>
      </c>
      <c r="CV25">
        <v>131</v>
      </c>
      <c r="CW25">
        <v>14</v>
      </c>
      <c r="CX25">
        <v>3</v>
      </c>
      <c r="CY25">
        <v>4.5</v>
      </c>
      <c r="CZ25">
        <v>65</v>
      </c>
      <c r="DA25">
        <v>240</v>
      </c>
      <c r="DB25">
        <v>20</v>
      </c>
      <c r="DC25">
        <v>17</v>
      </c>
      <c r="DD25">
        <v>850</v>
      </c>
      <c r="DE25">
        <v>74</v>
      </c>
      <c r="DF25" t="s">
        <v>340</v>
      </c>
      <c r="DG25">
        <v>1</v>
      </c>
      <c r="DH25">
        <v>500</v>
      </c>
      <c r="DI25">
        <v>2000</v>
      </c>
      <c r="DJ25">
        <v>1</v>
      </c>
      <c r="DK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135</v>
      </c>
      <c r="DU25">
        <v>87</v>
      </c>
      <c r="DV25">
        <v>100</v>
      </c>
      <c r="DW25">
        <v>132</v>
      </c>
      <c r="DX25">
        <v>38.5</v>
      </c>
      <c r="DY25">
        <v>1</v>
      </c>
      <c r="DZ25">
        <v>0</v>
      </c>
      <c r="EA25">
        <v>0</v>
      </c>
      <c r="EB25">
        <v>0</v>
      </c>
      <c r="EC25">
        <v>21</v>
      </c>
      <c r="ED25">
        <v>0</v>
      </c>
      <c r="EE25" t="s">
        <v>144</v>
      </c>
      <c r="EF25" t="s">
        <v>144</v>
      </c>
      <c r="EG25" t="s">
        <v>144</v>
      </c>
      <c r="EH25" t="s">
        <v>144</v>
      </c>
      <c r="EI25" t="s">
        <v>144</v>
      </c>
      <c r="EJ25" t="s">
        <v>144</v>
      </c>
      <c r="EK25" t="s">
        <v>144</v>
      </c>
      <c r="EL25" t="s">
        <v>144</v>
      </c>
      <c r="EM25" t="s">
        <v>144</v>
      </c>
      <c r="EN25" t="s">
        <v>144</v>
      </c>
      <c r="EO25" t="s">
        <v>144</v>
      </c>
      <c r="EP25" t="s">
        <v>144</v>
      </c>
      <c r="EQ25">
        <v>4.5</v>
      </c>
      <c r="ER25">
        <v>19.260000000000002</v>
      </c>
      <c r="ES25">
        <v>2.5</v>
      </c>
      <c r="ET25">
        <v>13</v>
      </c>
      <c r="EU25">
        <v>25</v>
      </c>
      <c r="EV25">
        <v>139</v>
      </c>
      <c r="EW25">
        <v>85</v>
      </c>
      <c r="EX25">
        <v>99</v>
      </c>
      <c r="EY25">
        <v>131</v>
      </c>
      <c r="FC25">
        <v>2.8</v>
      </c>
      <c r="FD25">
        <v>29.73</v>
      </c>
      <c r="FH25">
        <v>135</v>
      </c>
      <c r="FI25">
        <v>87</v>
      </c>
      <c r="FJ25">
        <v>100</v>
      </c>
      <c r="FK25">
        <v>131</v>
      </c>
      <c r="FO25">
        <v>4.4000000000000004</v>
      </c>
      <c r="FP25">
        <v>20.76</v>
      </c>
      <c r="FT25">
        <v>129</v>
      </c>
      <c r="FU25">
        <v>79</v>
      </c>
      <c r="FV25">
        <v>93</v>
      </c>
      <c r="FW25">
        <v>127</v>
      </c>
      <c r="GF25">
        <v>3.7</v>
      </c>
      <c r="GG25">
        <v>54.81</v>
      </c>
      <c r="GW25">
        <v>129</v>
      </c>
      <c r="GX25">
        <v>79</v>
      </c>
      <c r="GY25">
        <v>93</v>
      </c>
      <c r="GZ25">
        <v>124</v>
      </c>
      <c r="HD25">
        <v>3.9</v>
      </c>
      <c r="HE25">
        <v>32.44</v>
      </c>
      <c r="HL25">
        <f t="shared" si="2"/>
        <v>10.469999999999999</v>
      </c>
      <c r="HM25" s="16">
        <f t="shared" si="3"/>
        <v>0.54361370716510893</v>
      </c>
      <c r="HN25">
        <f t="shared" si="9"/>
        <v>34.049999999999997</v>
      </c>
      <c r="HO25" s="16">
        <f t="shared" si="10"/>
        <v>1.6401734104046239</v>
      </c>
      <c r="HP25" s="26">
        <f t="shared" si="6"/>
        <v>23.58</v>
      </c>
      <c r="HQ25">
        <f t="shared" si="11"/>
        <v>11.679999999999996</v>
      </c>
      <c r="HR25" s="16">
        <f>HQ25/FP25</f>
        <v>0.56262042389209999</v>
      </c>
      <c r="HS25">
        <f>HE25-GG25</f>
        <v>-22.370000000000005</v>
      </c>
      <c r="HU25" s="28"/>
      <c r="HW25" s="28"/>
    </row>
    <row r="26" spans="1:255" x14ac:dyDescent="0.35">
      <c r="A26" t="s">
        <v>368</v>
      </c>
      <c r="B26" t="s">
        <v>369</v>
      </c>
      <c r="C26" s="3">
        <v>23769</v>
      </c>
      <c r="D26">
        <v>52</v>
      </c>
      <c r="E26">
        <v>62.5</v>
      </c>
      <c r="F26">
        <v>167</v>
      </c>
      <c r="G26">
        <f t="shared" si="0"/>
        <v>1.67</v>
      </c>
      <c r="H26">
        <f t="shared" si="1"/>
        <v>22.410269281795692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60</v>
      </c>
      <c r="AG26">
        <v>0</v>
      </c>
      <c r="AH26">
        <v>0</v>
      </c>
      <c r="AI26">
        <v>1</v>
      </c>
      <c r="AJ26">
        <v>0</v>
      </c>
      <c r="AK26" s="3">
        <v>45214</v>
      </c>
      <c r="AL26" t="s">
        <v>350</v>
      </c>
      <c r="AN26">
        <v>1</v>
      </c>
      <c r="AO26">
        <v>0</v>
      </c>
      <c r="AP26">
        <v>0</v>
      </c>
      <c r="AQ26">
        <v>0</v>
      </c>
      <c r="AR26">
        <v>0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B26">
        <v>12.57</v>
      </c>
      <c r="BC26">
        <v>15.8</v>
      </c>
      <c r="BD26">
        <v>193</v>
      </c>
      <c r="BE26">
        <v>64</v>
      </c>
      <c r="BF26">
        <v>5</v>
      </c>
      <c r="BG26">
        <v>64</v>
      </c>
      <c r="BH26">
        <v>121</v>
      </c>
      <c r="BI26">
        <v>91</v>
      </c>
      <c r="BJ26">
        <v>13</v>
      </c>
      <c r="BL26">
        <v>6.9</v>
      </c>
      <c r="BN26">
        <v>7.53</v>
      </c>
      <c r="BO26">
        <v>130</v>
      </c>
      <c r="BP26">
        <v>25</v>
      </c>
      <c r="BQ26">
        <v>21</v>
      </c>
      <c r="BR26">
        <v>1</v>
      </c>
      <c r="BU26">
        <v>69</v>
      </c>
      <c r="BV26">
        <v>59</v>
      </c>
      <c r="BW26">
        <v>736</v>
      </c>
      <c r="BX26">
        <v>36</v>
      </c>
      <c r="BY26" s="3">
        <v>45215</v>
      </c>
      <c r="BZ26">
        <v>17</v>
      </c>
      <c r="CA26">
        <v>62.5</v>
      </c>
      <c r="CB26">
        <v>1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8.4</v>
      </c>
      <c r="CJ26">
        <v>13.8</v>
      </c>
      <c r="CK26">
        <v>134</v>
      </c>
      <c r="CL26">
        <v>64</v>
      </c>
      <c r="CM26">
        <v>5</v>
      </c>
      <c r="CN26">
        <v>64</v>
      </c>
      <c r="CO26">
        <v>121</v>
      </c>
      <c r="CP26">
        <v>91</v>
      </c>
      <c r="DB26">
        <v>59</v>
      </c>
      <c r="DC26">
        <v>69</v>
      </c>
      <c r="DD26">
        <v>736</v>
      </c>
      <c r="DE26">
        <v>36</v>
      </c>
      <c r="DF26">
        <v>2</v>
      </c>
      <c r="DG26">
        <v>1</v>
      </c>
      <c r="DH26">
        <v>500</v>
      </c>
      <c r="DJ26">
        <v>0</v>
      </c>
      <c r="DK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120</v>
      </c>
      <c r="DU26">
        <v>82</v>
      </c>
      <c r="DV26">
        <v>92</v>
      </c>
      <c r="DW26">
        <v>129</v>
      </c>
      <c r="DX26">
        <v>36.5</v>
      </c>
      <c r="DY26">
        <v>1</v>
      </c>
      <c r="DZ26">
        <v>0</v>
      </c>
      <c r="EA26">
        <v>0</v>
      </c>
      <c r="EB26">
        <v>0</v>
      </c>
      <c r="EC26">
        <v>0</v>
      </c>
      <c r="ED26">
        <v>0</v>
      </c>
      <c r="EP26">
        <v>0</v>
      </c>
      <c r="EQ26">
        <v>1.3</v>
      </c>
      <c r="ER26">
        <v>157.56</v>
      </c>
      <c r="EV26">
        <v>123</v>
      </c>
      <c r="EW26">
        <v>73</v>
      </c>
      <c r="EX26">
        <v>89</v>
      </c>
      <c r="EY26">
        <v>131</v>
      </c>
      <c r="FC26">
        <v>1.1000000000000001</v>
      </c>
      <c r="FD26">
        <v>263.67</v>
      </c>
      <c r="FH26">
        <v>135</v>
      </c>
      <c r="FI26">
        <v>74</v>
      </c>
      <c r="FJ26">
        <v>88</v>
      </c>
      <c r="FK26">
        <v>133</v>
      </c>
      <c r="FO26">
        <v>1.2</v>
      </c>
      <c r="FP26">
        <v>172.38</v>
      </c>
      <c r="FT26">
        <v>98</v>
      </c>
      <c r="FU26">
        <v>58</v>
      </c>
      <c r="FV26">
        <v>70</v>
      </c>
      <c r="FW26">
        <v>124</v>
      </c>
      <c r="GE26">
        <v>0</v>
      </c>
      <c r="GF26">
        <v>1.05</v>
      </c>
      <c r="GG26">
        <v>212.18</v>
      </c>
      <c r="GW26">
        <v>101</v>
      </c>
      <c r="GX26">
        <v>59</v>
      </c>
      <c r="GY26">
        <v>74</v>
      </c>
      <c r="GZ26">
        <v>128</v>
      </c>
      <c r="HD26">
        <v>0.9</v>
      </c>
      <c r="HE26">
        <v>185.7</v>
      </c>
      <c r="HL26">
        <f t="shared" si="2"/>
        <v>106.11000000000001</v>
      </c>
      <c r="HM26" s="16">
        <f t="shared" si="3"/>
        <v>0.67345773038842349</v>
      </c>
      <c r="HN26">
        <f t="shared" si="9"/>
        <v>39.800000000000011</v>
      </c>
      <c r="HO26" s="16">
        <f t="shared" si="10"/>
        <v>0.23088525350968797</v>
      </c>
      <c r="HP26" s="26">
        <f t="shared" si="6"/>
        <v>-66.31</v>
      </c>
      <c r="HQ26">
        <f t="shared" si="11"/>
        <v>13.319999999999993</v>
      </c>
      <c r="HU26" s="28"/>
      <c r="HW26" s="28"/>
    </row>
    <row r="27" spans="1:255" x14ac:dyDescent="0.35">
      <c r="A27" t="s">
        <v>357</v>
      </c>
      <c r="B27" t="s">
        <v>358</v>
      </c>
      <c r="C27" s="3">
        <v>16733</v>
      </c>
      <c r="D27">
        <v>77</v>
      </c>
      <c r="E27">
        <v>55</v>
      </c>
      <c r="F27">
        <v>169</v>
      </c>
      <c r="G27">
        <f t="shared" si="0"/>
        <v>1.69</v>
      </c>
      <c r="H27">
        <f t="shared" si="1"/>
        <v>19.257028815517668</v>
      </c>
      <c r="I27">
        <v>0</v>
      </c>
      <c r="J27">
        <v>1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0</v>
      </c>
      <c r="AK27" s="3">
        <v>45181</v>
      </c>
      <c r="AL27" t="s">
        <v>359</v>
      </c>
      <c r="AN27">
        <v>1</v>
      </c>
      <c r="AO27">
        <v>0</v>
      </c>
      <c r="AP27">
        <v>0</v>
      </c>
      <c r="AQ27">
        <v>0</v>
      </c>
      <c r="AR27">
        <v>0</v>
      </c>
      <c r="AT27">
        <v>8</v>
      </c>
      <c r="AU27">
        <v>4</v>
      </c>
      <c r="AV27">
        <v>0</v>
      </c>
      <c r="AW27">
        <v>2</v>
      </c>
      <c r="AX27">
        <v>2</v>
      </c>
      <c r="AY27">
        <v>0</v>
      </c>
      <c r="AZ27">
        <v>0</v>
      </c>
      <c r="BB27">
        <v>7.6</v>
      </c>
      <c r="BC27">
        <v>11.1</v>
      </c>
      <c r="BD27">
        <v>329</v>
      </c>
      <c r="BE27">
        <v>76</v>
      </c>
      <c r="BF27">
        <v>12</v>
      </c>
      <c r="BG27">
        <v>267</v>
      </c>
      <c r="BH27">
        <v>132</v>
      </c>
      <c r="BI27">
        <v>97</v>
      </c>
      <c r="BJ27">
        <v>11</v>
      </c>
      <c r="BK27">
        <v>288</v>
      </c>
      <c r="BN27">
        <v>7.45</v>
      </c>
      <c r="BO27">
        <v>84</v>
      </c>
      <c r="BP27">
        <v>25</v>
      </c>
      <c r="BQ27">
        <v>17</v>
      </c>
      <c r="BR27">
        <v>5.0999999999999996</v>
      </c>
      <c r="BU27">
        <v>26</v>
      </c>
      <c r="BV27">
        <v>16</v>
      </c>
      <c r="BY27" s="3">
        <v>45181</v>
      </c>
      <c r="BZ27">
        <v>1</v>
      </c>
      <c r="CA27">
        <v>77</v>
      </c>
      <c r="CB27">
        <v>8</v>
      </c>
      <c r="CC27">
        <v>4</v>
      </c>
      <c r="CD27">
        <v>0</v>
      </c>
      <c r="CE27">
        <v>2</v>
      </c>
      <c r="CF27">
        <v>2</v>
      </c>
      <c r="CG27">
        <v>0</v>
      </c>
      <c r="CH27">
        <v>0</v>
      </c>
      <c r="CI27">
        <v>7.6</v>
      </c>
      <c r="CJ27">
        <v>11.1</v>
      </c>
      <c r="CK27">
        <v>329</v>
      </c>
      <c r="CL27">
        <v>76</v>
      </c>
      <c r="CM27">
        <v>12</v>
      </c>
      <c r="CN27">
        <v>267</v>
      </c>
      <c r="CO27">
        <v>132</v>
      </c>
      <c r="CP27">
        <v>97</v>
      </c>
      <c r="CQ27">
        <v>11</v>
      </c>
      <c r="CR27">
        <v>288</v>
      </c>
      <c r="CU27">
        <v>7.45</v>
      </c>
      <c r="CV27">
        <v>84</v>
      </c>
      <c r="CW27">
        <v>25</v>
      </c>
      <c r="CX27">
        <v>17</v>
      </c>
      <c r="CY27">
        <v>5.0999999999999996</v>
      </c>
      <c r="DB27">
        <v>26</v>
      </c>
      <c r="DC27">
        <v>16</v>
      </c>
      <c r="DF27">
        <v>3</v>
      </c>
      <c r="DG27">
        <v>1</v>
      </c>
      <c r="DH27">
        <v>500</v>
      </c>
      <c r="DJ27">
        <v>0</v>
      </c>
      <c r="DK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90</v>
      </c>
      <c r="DU27">
        <v>61</v>
      </c>
      <c r="DV27">
        <v>70</v>
      </c>
      <c r="DW27">
        <v>112</v>
      </c>
      <c r="DX27">
        <v>39.4</v>
      </c>
      <c r="DY27">
        <v>1</v>
      </c>
      <c r="DZ27">
        <v>0</v>
      </c>
      <c r="EA27">
        <v>0</v>
      </c>
      <c r="EB27">
        <v>0</v>
      </c>
      <c r="ED27">
        <v>9</v>
      </c>
      <c r="EE27">
        <v>2.5</v>
      </c>
      <c r="EF27">
        <v>30</v>
      </c>
      <c r="EG27">
        <v>5</v>
      </c>
      <c r="EH27">
        <v>100</v>
      </c>
      <c r="EI27">
        <v>0</v>
      </c>
      <c r="EJ27">
        <v>0</v>
      </c>
      <c r="EQ27">
        <v>5.5</v>
      </c>
      <c r="ER27">
        <v>13.9</v>
      </c>
      <c r="ES27">
        <v>3.49</v>
      </c>
      <c r="ET27">
        <v>9</v>
      </c>
      <c r="EU27">
        <v>42</v>
      </c>
      <c r="EV27">
        <v>89</v>
      </c>
      <c r="EW27">
        <v>61</v>
      </c>
      <c r="EX27">
        <v>69</v>
      </c>
      <c r="EY27">
        <v>107</v>
      </c>
      <c r="FC27">
        <v>2.66</v>
      </c>
      <c r="FD27">
        <v>52.39</v>
      </c>
      <c r="FH27">
        <v>95</v>
      </c>
      <c r="FI27">
        <v>64</v>
      </c>
      <c r="FJ27">
        <v>72</v>
      </c>
      <c r="FK27">
        <v>106</v>
      </c>
      <c r="FO27">
        <v>5.0999999999999996</v>
      </c>
      <c r="FP27">
        <v>20.350000000000001</v>
      </c>
      <c r="FT27">
        <v>102</v>
      </c>
      <c r="FU27">
        <v>60</v>
      </c>
      <c r="FV27">
        <v>73</v>
      </c>
      <c r="FW27">
        <v>105</v>
      </c>
      <c r="GF27">
        <v>3.6</v>
      </c>
      <c r="GG27">
        <v>60.24</v>
      </c>
      <c r="GW27">
        <v>102</v>
      </c>
      <c r="GX27">
        <v>66</v>
      </c>
      <c r="GY27">
        <v>73</v>
      </c>
      <c r="GZ27">
        <v>107</v>
      </c>
      <c r="HD27">
        <v>3.6</v>
      </c>
      <c r="HE27">
        <v>23.8</v>
      </c>
      <c r="HL27">
        <f t="shared" si="2"/>
        <v>38.49</v>
      </c>
      <c r="HM27" s="16">
        <f t="shared" si="3"/>
        <v>2.7690647482014388</v>
      </c>
      <c r="HN27">
        <f t="shared" si="9"/>
        <v>39.89</v>
      </c>
      <c r="HO27" s="16">
        <f t="shared" si="10"/>
        <v>1.9601965601965601</v>
      </c>
      <c r="HP27" s="26">
        <f t="shared" si="6"/>
        <v>1.3999999999999986</v>
      </c>
      <c r="HQ27">
        <f t="shared" si="11"/>
        <v>3.4499999999999993</v>
      </c>
      <c r="HU27" s="28"/>
      <c r="HW27" s="28"/>
    </row>
    <row r="28" spans="1:255" x14ac:dyDescent="0.35">
      <c r="A28" t="s">
        <v>287</v>
      </c>
      <c r="B28" t="s">
        <v>288</v>
      </c>
      <c r="C28" s="3">
        <v>24852</v>
      </c>
      <c r="D28">
        <v>55</v>
      </c>
      <c r="E28">
        <v>37</v>
      </c>
      <c r="F28">
        <v>170</v>
      </c>
      <c r="G28">
        <f t="shared" si="0"/>
        <v>1.7</v>
      </c>
      <c r="H28">
        <f t="shared" si="1"/>
        <v>12.802768166089967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144</v>
      </c>
      <c r="AG28">
        <v>0</v>
      </c>
      <c r="AH28">
        <v>0</v>
      </c>
      <c r="AI28">
        <v>0</v>
      </c>
      <c r="AJ28">
        <v>0</v>
      </c>
      <c r="AK28" s="3">
        <v>45062</v>
      </c>
      <c r="AL28" t="s">
        <v>289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20</v>
      </c>
      <c r="AT28">
        <v>2</v>
      </c>
      <c r="AU28">
        <v>1</v>
      </c>
      <c r="AV28">
        <v>0</v>
      </c>
      <c r="AW28">
        <v>1</v>
      </c>
      <c r="AX28">
        <v>0</v>
      </c>
      <c r="AY28">
        <v>0</v>
      </c>
      <c r="AZ28">
        <v>0</v>
      </c>
      <c r="BY28" s="3">
        <v>45063</v>
      </c>
      <c r="BZ28">
        <v>12</v>
      </c>
      <c r="CA28">
        <v>37</v>
      </c>
      <c r="CB28">
        <v>2</v>
      </c>
      <c r="CC28">
        <v>1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15.3</v>
      </c>
      <c r="CJ28">
        <v>106</v>
      </c>
      <c r="CK28">
        <v>259</v>
      </c>
      <c r="CM28">
        <v>4.5</v>
      </c>
      <c r="CN28">
        <v>41</v>
      </c>
      <c r="CO28">
        <v>135</v>
      </c>
      <c r="CP28">
        <v>103</v>
      </c>
      <c r="CQ28">
        <v>7</v>
      </c>
      <c r="CR28">
        <v>194</v>
      </c>
      <c r="CS28">
        <v>76</v>
      </c>
      <c r="CT28" t="s">
        <v>144</v>
      </c>
      <c r="CU28">
        <v>7.46</v>
      </c>
      <c r="CV28">
        <v>102</v>
      </c>
      <c r="CW28">
        <v>29</v>
      </c>
      <c r="CX28">
        <v>21</v>
      </c>
      <c r="CY28">
        <v>1.8</v>
      </c>
      <c r="CZ28">
        <v>55</v>
      </c>
      <c r="DA28">
        <v>107</v>
      </c>
      <c r="DB28">
        <v>42</v>
      </c>
      <c r="DC28">
        <v>27</v>
      </c>
      <c r="DD28">
        <v>423</v>
      </c>
      <c r="DE28">
        <v>784</v>
      </c>
      <c r="DF28">
        <v>1</v>
      </c>
      <c r="DG28">
        <v>1</v>
      </c>
      <c r="DH28">
        <v>500</v>
      </c>
      <c r="DI28">
        <v>1500</v>
      </c>
      <c r="DJ28">
        <v>1</v>
      </c>
      <c r="DK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107</v>
      </c>
      <c r="DU28">
        <v>76</v>
      </c>
      <c r="DV28">
        <v>85</v>
      </c>
      <c r="DW28">
        <v>118</v>
      </c>
      <c r="DX28">
        <v>38.1</v>
      </c>
      <c r="DY28">
        <v>1</v>
      </c>
      <c r="DZ28">
        <v>0</v>
      </c>
      <c r="EA28">
        <v>0</v>
      </c>
      <c r="EB28">
        <v>0</v>
      </c>
      <c r="EC28">
        <v>21</v>
      </c>
      <c r="ED28">
        <v>0</v>
      </c>
      <c r="EE28">
        <v>4.2</v>
      </c>
      <c r="EF28">
        <v>50</v>
      </c>
      <c r="EG28">
        <v>13</v>
      </c>
      <c r="EH28">
        <v>100</v>
      </c>
      <c r="EI28">
        <v>0</v>
      </c>
      <c r="EJ28">
        <v>0</v>
      </c>
      <c r="EK28">
        <v>0.7</v>
      </c>
      <c r="EL28">
        <v>5.9</v>
      </c>
      <c r="EM28" t="s">
        <v>144</v>
      </c>
      <c r="EN28" t="s">
        <v>144</v>
      </c>
      <c r="EO28" t="s">
        <v>144</v>
      </c>
      <c r="EP28">
        <v>1</v>
      </c>
      <c r="EQ28">
        <v>3.59</v>
      </c>
      <c r="ER28">
        <v>5.95</v>
      </c>
      <c r="ES28">
        <v>1.1599999999999999</v>
      </c>
      <c r="ET28">
        <v>0.05</v>
      </c>
      <c r="EU28">
        <v>9.98</v>
      </c>
      <c r="EV28">
        <v>116</v>
      </c>
      <c r="EW28">
        <v>74</v>
      </c>
      <c r="EX28">
        <v>87</v>
      </c>
      <c r="EY28">
        <v>120</v>
      </c>
      <c r="EZ28">
        <v>4.4000000000000004</v>
      </c>
      <c r="FA28" t="s">
        <v>144</v>
      </c>
      <c r="FB28">
        <v>1</v>
      </c>
      <c r="FC28">
        <v>2.04</v>
      </c>
      <c r="FD28">
        <v>35.57</v>
      </c>
      <c r="FH28">
        <v>105</v>
      </c>
      <c r="FI28">
        <v>69</v>
      </c>
      <c r="FJ28">
        <v>80</v>
      </c>
      <c r="FK28">
        <v>118</v>
      </c>
      <c r="FL28">
        <v>4.2</v>
      </c>
      <c r="FM28" t="s">
        <v>144</v>
      </c>
      <c r="FN28">
        <v>1</v>
      </c>
      <c r="FO28">
        <v>3.1</v>
      </c>
      <c r="FP28">
        <v>10.29</v>
      </c>
      <c r="FT28">
        <v>113</v>
      </c>
      <c r="FU28">
        <v>73</v>
      </c>
      <c r="FV28">
        <v>86</v>
      </c>
      <c r="FW28">
        <v>124</v>
      </c>
      <c r="FX28">
        <v>4.4000000000000004</v>
      </c>
      <c r="GD28" t="s">
        <v>144</v>
      </c>
      <c r="GE28">
        <v>0</v>
      </c>
      <c r="GF28">
        <v>2.9</v>
      </c>
      <c r="GG28">
        <v>67.75</v>
      </c>
      <c r="GK28">
        <v>111</v>
      </c>
      <c r="GL28">
        <v>77</v>
      </c>
      <c r="GM28">
        <v>86</v>
      </c>
      <c r="GN28">
        <v>127</v>
      </c>
      <c r="GO28">
        <v>4.5</v>
      </c>
      <c r="GP28" t="s">
        <v>144</v>
      </c>
      <c r="GQ28">
        <v>0</v>
      </c>
      <c r="GR28">
        <v>1.65</v>
      </c>
      <c r="GS28">
        <v>43.37</v>
      </c>
      <c r="GW28">
        <v>99</v>
      </c>
      <c r="GX28">
        <v>67</v>
      </c>
      <c r="GY28">
        <v>75</v>
      </c>
      <c r="GZ28">
        <v>127</v>
      </c>
      <c r="HA28">
        <v>4.4000000000000004</v>
      </c>
      <c r="HB28" t="s">
        <v>144</v>
      </c>
      <c r="HC28">
        <v>0</v>
      </c>
      <c r="HD28">
        <v>1.7</v>
      </c>
      <c r="HE28">
        <v>96.59</v>
      </c>
      <c r="HI28">
        <v>0</v>
      </c>
      <c r="HJ28">
        <v>0</v>
      </c>
      <c r="HL28">
        <f t="shared" si="2"/>
        <v>29.62</v>
      </c>
      <c r="HM28" s="16">
        <f t="shared" si="3"/>
        <v>4.9781512605042018</v>
      </c>
      <c r="HN28">
        <f t="shared" si="9"/>
        <v>57.46</v>
      </c>
      <c r="HO28" s="16">
        <f t="shared" si="10"/>
        <v>5.5840621963070944</v>
      </c>
      <c r="HP28" s="26">
        <f t="shared" si="6"/>
        <v>27.84</v>
      </c>
      <c r="HQ28">
        <f t="shared" si="11"/>
        <v>86.300000000000011</v>
      </c>
      <c r="HR28" s="16">
        <f>HQ28/FP28</f>
        <v>8.3867832847424708</v>
      </c>
      <c r="HS28">
        <f>HE28-GG28</f>
        <v>28.840000000000003</v>
      </c>
      <c r="HT28">
        <f>EZ28-EE28</f>
        <v>0.20000000000000018</v>
      </c>
      <c r="HU28" s="28">
        <f>(HT28/EE28)*100</f>
        <v>4.7619047619047654</v>
      </c>
      <c r="HV28">
        <f>FX28-FL28</f>
        <v>0.20000000000000018</v>
      </c>
      <c r="HW28" s="28">
        <f>(HV28/FL28)*100</f>
        <v>4.7619047619047654</v>
      </c>
    </row>
    <row r="29" spans="1:255" x14ac:dyDescent="0.35">
      <c r="A29" s="21" t="s">
        <v>279</v>
      </c>
      <c r="B29" s="21" t="s">
        <v>280</v>
      </c>
      <c r="C29" s="22">
        <v>26798</v>
      </c>
      <c r="D29" s="21">
        <v>49</v>
      </c>
      <c r="E29" s="21">
        <v>100</v>
      </c>
      <c r="F29" s="21">
        <v>180</v>
      </c>
      <c r="G29">
        <f t="shared" si="0"/>
        <v>1.8</v>
      </c>
      <c r="H29">
        <f t="shared" si="1"/>
        <v>30.864197530864196</v>
      </c>
      <c r="I29" s="21">
        <v>0</v>
      </c>
      <c r="J29" s="21">
        <v>1</v>
      </c>
      <c r="K29" s="21"/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1</v>
      </c>
      <c r="S29" s="21">
        <v>0</v>
      </c>
      <c r="T29" s="21">
        <v>0</v>
      </c>
      <c r="U29" s="21">
        <v>0</v>
      </c>
      <c r="V29" s="21">
        <v>0</v>
      </c>
      <c r="W29" s="21">
        <v>1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1</v>
      </c>
      <c r="AE29" s="21">
        <v>0</v>
      </c>
      <c r="AF29" s="21" t="s">
        <v>144</v>
      </c>
      <c r="AG29" s="21">
        <v>0</v>
      </c>
      <c r="AH29" s="21">
        <v>0</v>
      </c>
      <c r="AI29" s="21">
        <v>0</v>
      </c>
      <c r="AJ29" s="21">
        <v>0</v>
      </c>
      <c r="AK29" s="22">
        <v>45050</v>
      </c>
      <c r="AL29" s="21" t="s">
        <v>281</v>
      </c>
      <c r="AM29" s="21"/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95</v>
      </c>
      <c r="AT29" s="21">
        <v>9</v>
      </c>
      <c r="AU29" s="21">
        <v>4</v>
      </c>
      <c r="AV29" s="21">
        <v>0</v>
      </c>
      <c r="AW29" s="21">
        <v>4</v>
      </c>
      <c r="AX29" s="21">
        <v>1</v>
      </c>
      <c r="AY29" s="21">
        <v>0</v>
      </c>
      <c r="AZ29" s="21">
        <v>0</v>
      </c>
      <c r="BA29" s="21"/>
      <c r="BB29" s="21">
        <v>11.3</v>
      </c>
      <c r="BC29" s="21">
        <v>8</v>
      </c>
      <c r="BD29" s="21">
        <v>185</v>
      </c>
      <c r="BE29" s="21">
        <v>76</v>
      </c>
      <c r="BF29" s="21">
        <v>7.2</v>
      </c>
      <c r="BG29" s="21">
        <v>128</v>
      </c>
      <c r="BH29" s="21">
        <v>144</v>
      </c>
      <c r="BI29" s="21">
        <v>116</v>
      </c>
      <c r="BJ29" s="21">
        <v>5</v>
      </c>
      <c r="BK29" s="21">
        <v>0</v>
      </c>
      <c r="BL29" s="21" t="s">
        <v>144</v>
      </c>
      <c r="BM29" s="21" t="s">
        <v>144</v>
      </c>
      <c r="BN29" s="21">
        <v>7.29</v>
      </c>
      <c r="BO29" s="21">
        <v>463</v>
      </c>
      <c r="BP29" s="21">
        <v>24</v>
      </c>
      <c r="BQ29" s="21">
        <v>12</v>
      </c>
      <c r="BR29" s="21">
        <v>5.0999999999999996</v>
      </c>
      <c r="BS29" s="21">
        <v>57</v>
      </c>
      <c r="BT29" s="21">
        <v>58</v>
      </c>
      <c r="BU29" s="21">
        <v>133</v>
      </c>
      <c r="BV29" s="21">
        <v>98</v>
      </c>
      <c r="BW29" s="21">
        <v>675</v>
      </c>
      <c r="BX29" s="21">
        <v>167</v>
      </c>
      <c r="BY29" s="22">
        <v>45050</v>
      </c>
      <c r="BZ29" s="21">
        <v>0</v>
      </c>
      <c r="CA29" s="21">
        <v>100</v>
      </c>
      <c r="CB29" s="21">
        <v>9</v>
      </c>
      <c r="CC29" s="21">
        <v>4</v>
      </c>
      <c r="CD29" s="21">
        <v>0</v>
      </c>
      <c r="CE29" s="21">
        <v>4</v>
      </c>
      <c r="CF29" s="21">
        <v>1</v>
      </c>
      <c r="CG29" s="21">
        <v>0</v>
      </c>
      <c r="CH29" s="21">
        <v>0</v>
      </c>
      <c r="CI29" s="21">
        <v>11.3</v>
      </c>
      <c r="CJ29" s="21">
        <v>8</v>
      </c>
      <c r="CK29" s="21">
        <v>185</v>
      </c>
      <c r="CL29" s="21">
        <v>76</v>
      </c>
      <c r="CM29" s="21">
        <v>7.2</v>
      </c>
      <c r="CN29" s="21">
        <v>128</v>
      </c>
      <c r="CO29" s="21">
        <v>144</v>
      </c>
      <c r="CP29" s="21">
        <v>116</v>
      </c>
      <c r="CQ29" s="21">
        <v>5</v>
      </c>
      <c r="CR29" s="21">
        <v>0</v>
      </c>
      <c r="CS29" s="21" t="s">
        <v>144</v>
      </c>
      <c r="CT29" s="21" t="s">
        <v>144</v>
      </c>
      <c r="CU29" s="21">
        <v>7.29</v>
      </c>
      <c r="CV29" s="21">
        <v>463</v>
      </c>
      <c r="CW29" s="21">
        <v>24</v>
      </c>
      <c r="CX29" s="21">
        <v>12</v>
      </c>
      <c r="CY29" s="21">
        <v>5.0999999999999996</v>
      </c>
      <c r="CZ29" s="21">
        <v>57</v>
      </c>
      <c r="DA29" s="21">
        <v>58</v>
      </c>
      <c r="DB29" s="21">
        <v>133</v>
      </c>
      <c r="DC29" s="21">
        <v>98</v>
      </c>
      <c r="DD29" s="21">
        <v>675</v>
      </c>
      <c r="DE29" s="21">
        <v>167</v>
      </c>
      <c r="DF29" s="21">
        <v>1</v>
      </c>
      <c r="DG29" s="21">
        <v>1</v>
      </c>
      <c r="DH29" s="21">
        <v>500</v>
      </c>
      <c r="DI29" s="21">
        <v>1000</v>
      </c>
      <c r="DJ29" s="21">
        <v>1</v>
      </c>
      <c r="DK29" s="21">
        <v>0</v>
      </c>
      <c r="DL29" s="21">
        <v>0.65</v>
      </c>
      <c r="DM29" s="21">
        <v>1</v>
      </c>
      <c r="DN29" s="21">
        <v>0</v>
      </c>
      <c r="DO29" s="21">
        <v>0</v>
      </c>
      <c r="DP29" s="21">
        <v>200</v>
      </c>
      <c r="DQ29" s="21">
        <v>15</v>
      </c>
      <c r="DR29" s="21">
        <v>0</v>
      </c>
      <c r="DS29" s="21">
        <v>0</v>
      </c>
      <c r="DT29" s="21">
        <v>103</v>
      </c>
      <c r="DU29" s="21">
        <v>54</v>
      </c>
      <c r="DV29" s="21">
        <v>76</v>
      </c>
      <c r="DW29" s="21">
        <v>87</v>
      </c>
      <c r="DX29" s="21">
        <v>34.9</v>
      </c>
      <c r="DY29" s="21">
        <v>0</v>
      </c>
      <c r="DZ29" s="21">
        <v>1</v>
      </c>
      <c r="EA29" s="21">
        <v>0</v>
      </c>
      <c r="EB29" s="21">
        <v>5</v>
      </c>
      <c r="EC29" s="21">
        <v>25</v>
      </c>
      <c r="ED29" s="21">
        <v>60</v>
      </c>
      <c r="EE29" s="21">
        <v>6.9</v>
      </c>
      <c r="EF29" s="21">
        <v>50</v>
      </c>
      <c r="EG29" s="21">
        <v>17</v>
      </c>
      <c r="EH29" s="21">
        <v>100</v>
      </c>
      <c r="EI29" s="21">
        <v>0</v>
      </c>
      <c r="EJ29" s="21">
        <v>0</v>
      </c>
      <c r="EK29" s="21">
        <v>1.4</v>
      </c>
      <c r="EL29" s="21">
        <v>4.9000000000000004</v>
      </c>
      <c r="EM29" s="21" t="s">
        <v>144</v>
      </c>
      <c r="EN29" s="21" t="s">
        <v>144</v>
      </c>
      <c r="EO29" s="21" t="s">
        <v>144</v>
      </c>
      <c r="EP29" s="21">
        <v>0</v>
      </c>
      <c r="EQ29" s="21">
        <v>1.6</v>
      </c>
      <c r="ER29" s="21">
        <v>44.56</v>
      </c>
      <c r="ES29" s="21">
        <v>7.95</v>
      </c>
      <c r="ET29" s="21">
        <v>29.8</v>
      </c>
      <c r="EU29" s="21">
        <v>65.3</v>
      </c>
      <c r="EV29" s="21">
        <v>122</v>
      </c>
      <c r="EW29" s="21">
        <v>67</v>
      </c>
      <c r="EX29" s="21">
        <v>91</v>
      </c>
      <c r="EY29" s="21">
        <v>86</v>
      </c>
      <c r="EZ29" s="21">
        <v>6.7</v>
      </c>
      <c r="FA29" s="21" t="s">
        <v>144</v>
      </c>
      <c r="FB29" s="21">
        <v>0</v>
      </c>
      <c r="FC29" s="21">
        <v>1.42</v>
      </c>
      <c r="FD29" s="21">
        <v>54.4</v>
      </c>
      <c r="FE29" s="21"/>
      <c r="FF29" s="21"/>
      <c r="FG29" s="21"/>
      <c r="FH29" s="21">
        <v>121</v>
      </c>
      <c r="FI29" s="21">
        <v>66</v>
      </c>
      <c r="FJ29" s="21">
        <v>91</v>
      </c>
      <c r="FK29" s="21">
        <v>88</v>
      </c>
      <c r="FL29" s="21">
        <v>7</v>
      </c>
      <c r="FM29" s="21" t="s">
        <v>144</v>
      </c>
      <c r="FN29" s="21">
        <v>0</v>
      </c>
      <c r="FO29" s="21">
        <v>1.6</v>
      </c>
      <c r="FP29" s="21">
        <v>36.21</v>
      </c>
      <c r="FQ29" s="21"/>
      <c r="FR29" s="21"/>
      <c r="FS29" s="21"/>
      <c r="FT29" s="21">
        <v>136</v>
      </c>
      <c r="FU29" s="21">
        <v>71</v>
      </c>
      <c r="FV29" s="21">
        <v>99</v>
      </c>
      <c r="FW29" s="21">
        <v>88</v>
      </c>
      <c r="FX29" s="21">
        <v>7.3</v>
      </c>
      <c r="FY29" s="21">
        <v>50</v>
      </c>
      <c r="FZ29" s="21">
        <v>1.2</v>
      </c>
      <c r="GA29" s="21">
        <v>5.4</v>
      </c>
      <c r="GB29" s="21">
        <v>17</v>
      </c>
      <c r="GC29" s="21">
        <v>0</v>
      </c>
      <c r="GD29" s="21" t="s">
        <v>144</v>
      </c>
      <c r="GE29" s="21">
        <v>0</v>
      </c>
      <c r="GF29" s="21">
        <v>1.17</v>
      </c>
      <c r="GG29" s="21">
        <v>96.47</v>
      </c>
      <c r="GH29" s="21"/>
      <c r="GI29" s="21"/>
      <c r="GJ29" s="21"/>
      <c r="GK29" s="21">
        <v>136</v>
      </c>
      <c r="GL29" s="21">
        <v>71</v>
      </c>
      <c r="GM29" s="21">
        <v>99</v>
      </c>
      <c r="GN29" s="21">
        <v>89</v>
      </c>
      <c r="GO29" s="21">
        <v>7</v>
      </c>
      <c r="GP29" s="21" t="s">
        <v>144</v>
      </c>
      <c r="GQ29" s="21">
        <v>0</v>
      </c>
      <c r="GR29" s="21">
        <v>1.44</v>
      </c>
      <c r="GS29" s="21">
        <v>85.34</v>
      </c>
      <c r="GT29" s="21"/>
      <c r="GU29" s="21"/>
      <c r="GV29" s="21"/>
      <c r="GW29" s="21">
        <v>129</v>
      </c>
      <c r="GX29" s="21">
        <v>66</v>
      </c>
      <c r="GY29" s="21">
        <v>93</v>
      </c>
      <c r="GZ29" s="21">
        <v>89</v>
      </c>
      <c r="HA29" s="21">
        <v>6.9</v>
      </c>
      <c r="HB29" s="21" t="s">
        <v>144</v>
      </c>
      <c r="HC29" s="21">
        <v>0</v>
      </c>
      <c r="HD29" s="21">
        <v>1.79</v>
      </c>
      <c r="HE29" s="21">
        <v>60.2</v>
      </c>
      <c r="HF29" s="21"/>
      <c r="HG29" s="21"/>
      <c r="HH29" s="21"/>
      <c r="HI29" s="21">
        <v>1</v>
      </c>
      <c r="HJ29" s="21">
        <v>1</v>
      </c>
      <c r="HK29" s="22">
        <v>45057</v>
      </c>
      <c r="HL29" s="21">
        <f t="shared" si="2"/>
        <v>9.8399999999999963</v>
      </c>
      <c r="HM29" s="23">
        <f t="shared" si="3"/>
        <v>0.22082585278276473</v>
      </c>
      <c r="HN29" s="21">
        <f t="shared" si="9"/>
        <v>60.26</v>
      </c>
      <c r="HO29" s="23">
        <f t="shared" si="10"/>
        <v>1.664181165423916</v>
      </c>
      <c r="HP29" s="26">
        <f t="shared" si="6"/>
        <v>50.42</v>
      </c>
      <c r="HQ29">
        <f t="shared" si="11"/>
        <v>23.990000000000002</v>
      </c>
      <c r="HR29" s="23">
        <f>HQ29/FP29</f>
        <v>0.66252416459541563</v>
      </c>
      <c r="HS29" s="21">
        <f>HE29-GG29</f>
        <v>-36.269999999999996</v>
      </c>
      <c r="HT29">
        <f>EZ29-EE29</f>
        <v>-0.20000000000000018</v>
      </c>
      <c r="HU29" s="28">
        <f>(HT29/EE29)*100</f>
        <v>-2.8985507246376838</v>
      </c>
      <c r="HV29">
        <f>FX29-FL29</f>
        <v>0.29999999999999982</v>
      </c>
      <c r="HW29" s="28">
        <f>(HV29/FL29)*100</f>
        <v>4.2857142857142829</v>
      </c>
    </row>
    <row r="30" spans="1:255" x14ac:dyDescent="0.35">
      <c r="A30" t="s">
        <v>353</v>
      </c>
      <c r="B30" t="s">
        <v>205</v>
      </c>
      <c r="C30" s="3">
        <v>23723</v>
      </c>
      <c r="D30">
        <v>58</v>
      </c>
      <c r="E30">
        <v>67</v>
      </c>
      <c r="F30">
        <v>170</v>
      </c>
      <c r="G30">
        <f t="shared" si="0"/>
        <v>1.7</v>
      </c>
      <c r="H30">
        <f t="shared" si="1"/>
        <v>23.183391003460208</v>
      </c>
      <c r="I30">
        <v>0</v>
      </c>
      <c r="J30">
        <v>1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45</v>
      </c>
      <c r="AG30">
        <v>1</v>
      </c>
      <c r="AH30">
        <v>1</v>
      </c>
      <c r="AI30">
        <v>0</v>
      </c>
      <c r="AJ30">
        <v>0</v>
      </c>
      <c r="AK30" s="3">
        <v>45180</v>
      </c>
      <c r="AL30" t="s">
        <v>350</v>
      </c>
      <c r="AN30">
        <v>1</v>
      </c>
      <c r="AO30">
        <v>0</v>
      </c>
      <c r="AP30">
        <v>0</v>
      </c>
      <c r="AQ30">
        <v>0</v>
      </c>
      <c r="AR30">
        <v>0</v>
      </c>
      <c r="AT30">
        <v>5</v>
      </c>
      <c r="AU30">
        <v>1</v>
      </c>
      <c r="AV30">
        <v>2</v>
      </c>
      <c r="AW30">
        <v>2</v>
      </c>
      <c r="AX30">
        <v>0</v>
      </c>
      <c r="AY30">
        <v>0</v>
      </c>
      <c r="AZ30">
        <v>0</v>
      </c>
      <c r="BB30">
        <v>8.8000000000000007</v>
      </c>
      <c r="BC30">
        <v>9.6</v>
      </c>
      <c r="BD30">
        <v>168</v>
      </c>
      <c r="BE30">
        <v>62</v>
      </c>
      <c r="BF30">
        <v>8.3000000000000007</v>
      </c>
      <c r="BG30">
        <v>99</v>
      </c>
      <c r="BH30">
        <v>149</v>
      </c>
      <c r="BI30">
        <v>118</v>
      </c>
      <c r="BJ30">
        <v>13</v>
      </c>
      <c r="BK30">
        <v>250</v>
      </c>
      <c r="BM30">
        <v>12.8</v>
      </c>
      <c r="BN30">
        <v>7.38</v>
      </c>
      <c r="BO30">
        <v>88</v>
      </c>
      <c r="BP30">
        <v>31</v>
      </c>
      <c r="BQ30">
        <v>19</v>
      </c>
      <c r="BR30">
        <v>1.5</v>
      </c>
      <c r="BS30">
        <v>77</v>
      </c>
      <c r="BU30">
        <v>22</v>
      </c>
      <c r="BV30">
        <v>46</v>
      </c>
      <c r="BW30">
        <v>8</v>
      </c>
      <c r="BX30">
        <v>277</v>
      </c>
      <c r="BY30" s="3">
        <v>45180</v>
      </c>
      <c r="BZ30">
        <v>1</v>
      </c>
      <c r="CA30">
        <v>67</v>
      </c>
      <c r="CB30">
        <v>5</v>
      </c>
      <c r="CC30">
        <v>1</v>
      </c>
      <c r="CD30">
        <v>2</v>
      </c>
      <c r="CE30">
        <v>2</v>
      </c>
      <c r="CF30">
        <v>0</v>
      </c>
      <c r="CG30">
        <v>0</v>
      </c>
      <c r="CH30">
        <v>0</v>
      </c>
      <c r="CI30">
        <v>8.8000000000000007</v>
      </c>
      <c r="CJ30">
        <v>9.6</v>
      </c>
      <c r="CK30">
        <v>168</v>
      </c>
      <c r="CL30">
        <v>62</v>
      </c>
      <c r="CM30">
        <v>8.3000000000000007</v>
      </c>
      <c r="CN30">
        <v>99</v>
      </c>
      <c r="CO30">
        <v>149</v>
      </c>
      <c r="CP30">
        <v>118</v>
      </c>
      <c r="CQ30">
        <v>13</v>
      </c>
      <c r="CR30">
        <v>250</v>
      </c>
      <c r="CT30">
        <v>12.8</v>
      </c>
      <c r="CU30">
        <v>7.38</v>
      </c>
      <c r="CV30">
        <v>88</v>
      </c>
      <c r="CW30">
        <v>31</v>
      </c>
      <c r="CX30">
        <v>19</v>
      </c>
      <c r="CY30">
        <v>1.5</v>
      </c>
      <c r="CZ30">
        <v>77</v>
      </c>
      <c r="DB30">
        <v>22</v>
      </c>
      <c r="DC30">
        <v>40</v>
      </c>
      <c r="DD30">
        <v>8</v>
      </c>
      <c r="DE30">
        <v>277</v>
      </c>
      <c r="DF30">
        <v>2</v>
      </c>
      <c r="DG30">
        <v>1</v>
      </c>
      <c r="DH30">
        <v>500</v>
      </c>
      <c r="DI30">
        <v>500</v>
      </c>
      <c r="DJ30">
        <v>1</v>
      </c>
      <c r="DK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86</v>
      </c>
      <c r="DU30">
        <v>66</v>
      </c>
      <c r="DV30">
        <v>75</v>
      </c>
      <c r="DW30">
        <v>141</v>
      </c>
      <c r="DX30">
        <v>36.200000000000003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15</v>
      </c>
      <c r="EE30">
        <v>6.3</v>
      </c>
      <c r="EF30">
        <v>40</v>
      </c>
      <c r="EG30">
        <v>13</v>
      </c>
      <c r="EH30">
        <v>50</v>
      </c>
      <c r="EI30">
        <v>0</v>
      </c>
      <c r="EJ30">
        <v>0</v>
      </c>
      <c r="EK30">
        <v>0.6</v>
      </c>
      <c r="EL30">
        <v>6</v>
      </c>
      <c r="EM30" t="s">
        <v>144</v>
      </c>
      <c r="EN30" t="s">
        <v>144</v>
      </c>
      <c r="EO30" t="s">
        <v>144</v>
      </c>
      <c r="EP30">
        <v>4</v>
      </c>
      <c r="EQ30">
        <v>3.1</v>
      </c>
      <c r="ER30">
        <v>43.75</v>
      </c>
      <c r="ES30">
        <v>5.8</v>
      </c>
      <c r="ET30">
        <v>31</v>
      </c>
      <c r="EU30">
        <v>60</v>
      </c>
      <c r="EV30">
        <v>94</v>
      </c>
      <c r="EW30">
        <v>64</v>
      </c>
      <c r="EX30">
        <v>74</v>
      </c>
      <c r="EY30">
        <v>136</v>
      </c>
      <c r="EZ30">
        <v>7.1</v>
      </c>
      <c r="FA30" t="s">
        <v>144</v>
      </c>
      <c r="FB30">
        <v>4</v>
      </c>
      <c r="FC30">
        <v>2.2000000000000002</v>
      </c>
      <c r="FD30">
        <v>57.66</v>
      </c>
      <c r="FH30">
        <v>97</v>
      </c>
      <c r="FI30">
        <v>75</v>
      </c>
      <c r="FJ30">
        <v>81</v>
      </c>
      <c r="FK30">
        <v>138</v>
      </c>
      <c r="FL30">
        <v>6.2</v>
      </c>
      <c r="FM30" t="s">
        <v>144</v>
      </c>
      <c r="FN30">
        <v>4</v>
      </c>
      <c r="FO30">
        <v>2.98</v>
      </c>
      <c r="FP30">
        <v>40.86</v>
      </c>
      <c r="FT30">
        <v>106</v>
      </c>
      <c r="FU30">
        <v>71</v>
      </c>
      <c r="FV30">
        <v>83</v>
      </c>
      <c r="FW30">
        <v>136</v>
      </c>
      <c r="FX30">
        <v>7.7</v>
      </c>
      <c r="FY30">
        <v>45</v>
      </c>
      <c r="FZ30">
        <v>0.6</v>
      </c>
      <c r="GB30">
        <v>13</v>
      </c>
      <c r="GC30">
        <v>50</v>
      </c>
      <c r="GE30">
        <v>3</v>
      </c>
      <c r="GF30">
        <v>2.2000000000000002</v>
      </c>
      <c r="GG30">
        <v>101.25</v>
      </c>
      <c r="GK30">
        <v>96</v>
      </c>
      <c r="GL30">
        <v>71</v>
      </c>
      <c r="GM30">
        <v>80</v>
      </c>
      <c r="GN30">
        <v>138</v>
      </c>
      <c r="GO30">
        <v>5.7</v>
      </c>
      <c r="GQ30">
        <v>3</v>
      </c>
      <c r="GR30">
        <v>2.2999999999999998</v>
      </c>
      <c r="GS30">
        <v>85.78</v>
      </c>
      <c r="HL30">
        <f t="shared" si="2"/>
        <v>13.909999999999997</v>
      </c>
      <c r="HM30" s="16">
        <f t="shared" si="3"/>
        <v>0.31794285714285708</v>
      </c>
      <c r="HN30">
        <f t="shared" si="9"/>
        <v>60.39</v>
      </c>
      <c r="HO30" s="16">
        <f t="shared" si="10"/>
        <v>1.4779735682819384</v>
      </c>
      <c r="HP30" s="26">
        <f t="shared" si="6"/>
        <v>46.480000000000004</v>
      </c>
      <c r="HT30">
        <f>EZ30-EE30</f>
        <v>0.79999999999999982</v>
      </c>
      <c r="HU30" s="28">
        <f>(HT30/EE30)*100</f>
        <v>12.698412698412694</v>
      </c>
      <c r="HV30">
        <f>FX30-FL30</f>
        <v>1.5</v>
      </c>
      <c r="HW30" s="29">
        <f>(HV30/FL30)*100</f>
        <v>24.193548387096772</v>
      </c>
    </row>
    <row r="31" spans="1:255" x14ac:dyDescent="0.35">
      <c r="A31" t="s">
        <v>341</v>
      </c>
      <c r="B31" t="s">
        <v>342</v>
      </c>
      <c r="C31" s="3">
        <v>16072</v>
      </c>
      <c r="D31">
        <v>79</v>
      </c>
      <c r="E31">
        <v>63</v>
      </c>
      <c r="F31">
        <v>170</v>
      </c>
      <c r="G31">
        <f t="shared" si="0"/>
        <v>1.7</v>
      </c>
      <c r="H31">
        <f t="shared" si="1"/>
        <v>21.79930795847751</v>
      </c>
      <c r="I31">
        <v>0</v>
      </c>
      <c r="J31">
        <v>1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144</v>
      </c>
      <c r="AK31" s="3">
        <v>45177</v>
      </c>
      <c r="AL31" t="s">
        <v>343</v>
      </c>
      <c r="AN31">
        <v>1</v>
      </c>
      <c r="AO31">
        <v>1</v>
      </c>
      <c r="AP31">
        <v>0</v>
      </c>
      <c r="AQ31">
        <v>0</v>
      </c>
      <c r="AR31">
        <v>0</v>
      </c>
      <c r="AT31">
        <v>9</v>
      </c>
      <c r="AU31">
        <v>4</v>
      </c>
      <c r="AV31">
        <v>0</v>
      </c>
      <c r="AW31">
        <v>1</v>
      </c>
      <c r="AX31">
        <v>3</v>
      </c>
      <c r="AY31">
        <v>0</v>
      </c>
      <c r="AZ31">
        <v>2</v>
      </c>
      <c r="BB31">
        <v>36</v>
      </c>
      <c r="BC31">
        <v>13.7</v>
      </c>
      <c r="BD31">
        <v>55</v>
      </c>
      <c r="BE31">
        <v>55</v>
      </c>
      <c r="BF31">
        <v>18.600000000000001</v>
      </c>
      <c r="BG31">
        <v>312</v>
      </c>
      <c r="BH31">
        <v>133</v>
      </c>
      <c r="BI31">
        <v>104</v>
      </c>
      <c r="BJ31">
        <v>8</v>
      </c>
      <c r="BL31">
        <v>375</v>
      </c>
      <c r="BN31">
        <v>7.36</v>
      </c>
      <c r="BO31">
        <v>114</v>
      </c>
      <c r="BP31">
        <v>21</v>
      </c>
      <c r="BQ31">
        <v>12</v>
      </c>
      <c r="BR31">
        <v>5.9</v>
      </c>
      <c r="BS31">
        <v>54</v>
      </c>
      <c r="BT31">
        <v>57</v>
      </c>
      <c r="BU31">
        <v>47</v>
      </c>
      <c r="BV31">
        <v>64</v>
      </c>
      <c r="BW31">
        <v>401</v>
      </c>
      <c r="BX31">
        <v>149</v>
      </c>
      <c r="BY31" s="3">
        <v>45177</v>
      </c>
      <c r="BZ31">
        <v>1</v>
      </c>
      <c r="CA31">
        <v>79</v>
      </c>
      <c r="CB31">
        <v>9</v>
      </c>
      <c r="CC31">
        <v>4</v>
      </c>
      <c r="CD31">
        <v>0</v>
      </c>
      <c r="CE31">
        <v>0</v>
      </c>
      <c r="CF31">
        <v>3</v>
      </c>
      <c r="CG31">
        <v>0</v>
      </c>
      <c r="CH31">
        <v>2</v>
      </c>
      <c r="CI31">
        <v>36</v>
      </c>
      <c r="CJ31">
        <v>13.7</v>
      </c>
      <c r="CK31">
        <v>55</v>
      </c>
      <c r="CL31">
        <v>55</v>
      </c>
      <c r="CM31">
        <v>18.600000000000001</v>
      </c>
      <c r="CN31">
        <v>312</v>
      </c>
      <c r="CO31">
        <v>133</v>
      </c>
      <c r="CP31">
        <v>104</v>
      </c>
      <c r="CQ31">
        <v>8</v>
      </c>
      <c r="CS31">
        <v>375</v>
      </c>
      <c r="CU31">
        <v>7.36</v>
      </c>
      <c r="CV31">
        <v>114</v>
      </c>
      <c r="CW31">
        <v>21</v>
      </c>
      <c r="CX31">
        <v>12</v>
      </c>
      <c r="CY31">
        <v>5.9</v>
      </c>
      <c r="CZ31">
        <v>54</v>
      </c>
      <c r="DA31">
        <v>57</v>
      </c>
      <c r="DB31">
        <v>47</v>
      </c>
      <c r="DC31">
        <v>64</v>
      </c>
      <c r="DD31">
        <v>401</v>
      </c>
      <c r="DE31">
        <v>149</v>
      </c>
      <c r="DF31">
        <v>1</v>
      </c>
      <c r="DG31">
        <v>2</v>
      </c>
      <c r="DH31">
        <v>500</v>
      </c>
      <c r="DI31">
        <v>2000</v>
      </c>
      <c r="DJ31">
        <v>1</v>
      </c>
      <c r="DK31">
        <v>100</v>
      </c>
      <c r="DL31">
        <v>0.4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160</v>
      </c>
      <c r="DU31">
        <v>54</v>
      </c>
      <c r="DV31">
        <v>70</v>
      </c>
      <c r="DW31">
        <v>101</v>
      </c>
      <c r="DX31">
        <v>36.6</v>
      </c>
      <c r="DY31">
        <v>1</v>
      </c>
      <c r="DZ31">
        <v>0</v>
      </c>
      <c r="EA31">
        <v>0</v>
      </c>
      <c r="EB31">
        <v>0</v>
      </c>
      <c r="ED31">
        <v>3</v>
      </c>
      <c r="EE31">
        <v>4.7</v>
      </c>
      <c r="EF31">
        <v>50</v>
      </c>
      <c r="EG31">
        <v>8</v>
      </c>
      <c r="EH31">
        <v>100</v>
      </c>
      <c r="EI31">
        <v>0</v>
      </c>
      <c r="EJ31">
        <v>0</v>
      </c>
      <c r="EK31">
        <v>0.6</v>
      </c>
      <c r="EL31">
        <v>11</v>
      </c>
      <c r="EM31" t="s">
        <v>144</v>
      </c>
      <c r="EN31" t="s">
        <v>144</v>
      </c>
      <c r="EO31" t="s">
        <v>144</v>
      </c>
      <c r="EP31">
        <v>1</v>
      </c>
      <c r="EQ31">
        <v>3.4</v>
      </c>
      <c r="ER31">
        <v>14.67</v>
      </c>
      <c r="ES31">
        <v>5.5</v>
      </c>
      <c r="ET31">
        <v>6</v>
      </c>
      <c r="EU31">
        <v>43</v>
      </c>
      <c r="EV31">
        <v>185</v>
      </c>
      <c r="EW31">
        <v>58</v>
      </c>
      <c r="EX31">
        <v>93</v>
      </c>
      <c r="EY31">
        <v>76</v>
      </c>
      <c r="EZ31">
        <v>3.7</v>
      </c>
      <c r="FB31">
        <v>1</v>
      </c>
      <c r="FC31">
        <v>1.9</v>
      </c>
      <c r="FD31">
        <v>78.12</v>
      </c>
      <c r="FH31">
        <v>204</v>
      </c>
      <c r="FI31">
        <v>63</v>
      </c>
      <c r="FJ31">
        <v>103</v>
      </c>
      <c r="FK31">
        <v>77</v>
      </c>
      <c r="FL31">
        <v>5.0999999999999996</v>
      </c>
      <c r="FN31">
        <v>1</v>
      </c>
      <c r="FO31">
        <v>3.1</v>
      </c>
      <c r="FP31">
        <v>20.8</v>
      </c>
      <c r="FT31">
        <v>105</v>
      </c>
      <c r="FU31">
        <v>48</v>
      </c>
      <c r="FV31">
        <v>67</v>
      </c>
      <c r="FW31">
        <v>89</v>
      </c>
      <c r="FX31">
        <v>4.0999999999999996</v>
      </c>
      <c r="FY31">
        <v>50</v>
      </c>
      <c r="GE31">
        <v>0</v>
      </c>
      <c r="GF31">
        <v>2.9</v>
      </c>
      <c r="GG31">
        <v>91.99</v>
      </c>
      <c r="GW31">
        <v>98</v>
      </c>
      <c r="GX31">
        <v>47</v>
      </c>
      <c r="GY31">
        <v>64</v>
      </c>
      <c r="GZ31">
        <v>89</v>
      </c>
      <c r="HA31">
        <v>3.9</v>
      </c>
      <c r="HC31">
        <v>0</v>
      </c>
      <c r="HD31">
        <v>2.7</v>
      </c>
      <c r="HE31">
        <v>94.51</v>
      </c>
      <c r="HL31">
        <f t="shared" si="2"/>
        <v>63.45</v>
      </c>
      <c r="HM31" s="16">
        <f t="shared" si="3"/>
        <v>4.3251533742331292</v>
      </c>
      <c r="HN31">
        <f t="shared" si="9"/>
        <v>71.19</v>
      </c>
      <c r="HO31" s="16">
        <f t="shared" si="10"/>
        <v>3.4225961538461536</v>
      </c>
      <c r="HP31" s="26">
        <f t="shared" si="6"/>
        <v>7.7399999999999949</v>
      </c>
      <c r="HQ31">
        <f>HE31-FP31</f>
        <v>73.710000000000008</v>
      </c>
      <c r="HR31" s="16">
        <f>HQ31/FP31</f>
        <v>3.5437500000000002</v>
      </c>
      <c r="HS31">
        <f>HE31-GG31</f>
        <v>2.5200000000000102</v>
      </c>
      <c r="HT31">
        <f>EZ31-EE31</f>
        <v>-1</v>
      </c>
      <c r="HU31" s="28">
        <f>(HT31/EE31)*100</f>
        <v>-21.276595744680851</v>
      </c>
      <c r="HV31">
        <f>FX31-FL31</f>
        <v>-1</v>
      </c>
      <c r="HW31" s="28">
        <f>(HV31/FL31)*100</f>
        <v>-19.607843137254903</v>
      </c>
    </row>
    <row r="32" spans="1:255" x14ac:dyDescent="0.35">
      <c r="A32" t="s">
        <v>361</v>
      </c>
      <c r="B32" t="s">
        <v>362</v>
      </c>
      <c r="C32" s="3">
        <v>16750</v>
      </c>
      <c r="D32">
        <v>77</v>
      </c>
      <c r="E32">
        <v>89</v>
      </c>
      <c r="F32">
        <v>187</v>
      </c>
      <c r="G32">
        <f t="shared" si="0"/>
        <v>1.87</v>
      </c>
      <c r="H32">
        <f t="shared" si="1"/>
        <v>25.45111384369012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K32" s="3">
        <v>45184</v>
      </c>
      <c r="AL32" t="s">
        <v>363</v>
      </c>
      <c r="AN32">
        <v>1</v>
      </c>
      <c r="AO32">
        <v>0</v>
      </c>
      <c r="AP32">
        <v>0</v>
      </c>
      <c r="AQ32">
        <v>0</v>
      </c>
      <c r="AR32">
        <v>0</v>
      </c>
      <c r="AT32">
        <v>7</v>
      </c>
      <c r="AU32">
        <v>1</v>
      </c>
      <c r="AV32">
        <v>0</v>
      </c>
      <c r="AW32">
        <v>1</v>
      </c>
      <c r="AX32">
        <v>1</v>
      </c>
      <c r="AY32">
        <v>4</v>
      </c>
      <c r="AZ32">
        <v>0</v>
      </c>
      <c r="BB32">
        <v>31.1</v>
      </c>
      <c r="BC32">
        <v>18.399999999999999</v>
      </c>
      <c r="BD32">
        <v>213</v>
      </c>
      <c r="BE32">
        <v>69</v>
      </c>
      <c r="BF32">
        <v>9.1</v>
      </c>
      <c r="BG32">
        <v>112</v>
      </c>
      <c r="BH32">
        <v>141</v>
      </c>
      <c r="BI32">
        <v>106</v>
      </c>
      <c r="BJ32">
        <v>227</v>
      </c>
      <c r="BK32">
        <v>43</v>
      </c>
      <c r="BN32">
        <v>7.49</v>
      </c>
      <c r="BO32">
        <v>72</v>
      </c>
      <c r="BP32">
        <v>25</v>
      </c>
      <c r="BQ32">
        <v>19</v>
      </c>
      <c r="BR32">
        <v>2.9</v>
      </c>
      <c r="BU32">
        <v>122</v>
      </c>
      <c r="BV32">
        <v>125</v>
      </c>
      <c r="BW32">
        <v>1292</v>
      </c>
      <c r="BX32">
        <v>128</v>
      </c>
      <c r="BY32" s="3">
        <v>45279</v>
      </c>
      <c r="CB32">
        <v>9</v>
      </c>
      <c r="CC32">
        <v>0</v>
      </c>
      <c r="CD32">
        <v>3</v>
      </c>
      <c r="CE32">
        <v>1</v>
      </c>
      <c r="CF32">
        <v>1</v>
      </c>
      <c r="CG32">
        <v>4</v>
      </c>
      <c r="CH32">
        <v>0</v>
      </c>
      <c r="CI32">
        <v>13.6</v>
      </c>
      <c r="CJ32">
        <v>13.1</v>
      </c>
      <c r="CK32">
        <v>213</v>
      </c>
      <c r="CL32">
        <v>61</v>
      </c>
      <c r="CM32">
        <v>17</v>
      </c>
      <c r="CN32">
        <v>166</v>
      </c>
      <c r="CO32">
        <v>145</v>
      </c>
      <c r="CP32">
        <v>112</v>
      </c>
      <c r="CQ32">
        <v>248</v>
      </c>
      <c r="CU32">
        <v>7.42</v>
      </c>
      <c r="CV32">
        <v>148</v>
      </c>
      <c r="CW32">
        <v>32</v>
      </c>
      <c r="CX32">
        <v>21</v>
      </c>
      <c r="CY32">
        <v>1.5</v>
      </c>
      <c r="CZ32">
        <v>59</v>
      </c>
      <c r="DB32">
        <v>77</v>
      </c>
      <c r="DC32">
        <v>80</v>
      </c>
      <c r="DD32">
        <v>1688</v>
      </c>
      <c r="DE32">
        <v>47</v>
      </c>
      <c r="DF32">
        <v>2</v>
      </c>
      <c r="DG32">
        <v>2</v>
      </c>
      <c r="DH32">
        <v>100</v>
      </c>
      <c r="DI32">
        <v>500</v>
      </c>
      <c r="DJ32">
        <v>1</v>
      </c>
      <c r="DK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123</v>
      </c>
      <c r="DU32">
        <v>76</v>
      </c>
      <c r="DV32">
        <v>91</v>
      </c>
      <c r="DW32">
        <v>97</v>
      </c>
      <c r="DX32">
        <v>37.5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3</v>
      </c>
      <c r="EP32">
        <v>4</v>
      </c>
      <c r="EQ32">
        <v>2.2999999999999998</v>
      </c>
      <c r="ER32">
        <v>50.55</v>
      </c>
      <c r="ES32">
        <v>11.99</v>
      </c>
      <c r="ET32">
        <v>21</v>
      </c>
      <c r="EU32">
        <v>77</v>
      </c>
      <c r="EV32">
        <v>146</v>
      </c>
      <c r="EW32">
        <v>89</v>
      </c>
      <c r="EX32">
        <v>104</v>
      </c>
      <c r="EY32">
        <v>98</v>
      </c>
      <c r="FC32">
        <v>1.7</v>
      </c>
      <c r="FD32">
        <v>115.54</v>
      </c>
      <c r="FH32">
        <v>118</v>
      </c>
      <c r="FI32">
        <v>73</v>
      </c>
      <c r="FJ32">
        <v>88</v>
      </c>
      <c r="FK32">
        <v>98</v>
      </c>
      <c r="FN32">
        <v>4</v>
      </c>
      <c r="FO32">
        <v>2.1</v>
      </c>
      <c r="FP32">
        <v>16.47</v>
      </c>
      <c r="FT32">
        <v>131</v>
      </c>
      <c r="FU32">
        <v>71</v>
      </c>
      <c r="FV32">
        <v>98</v>
      </c>
      <c r="FW32">
        <v>98</v>
      </c>
      <c r="GE32">
        <v>4</v>
      </c>
      <c r="GF32">
        <v>1.4</v>
      </c>
      <c r="GG32">
        <v>109.23</v>
      </c>
      <c r="GW32">
        <v>131</v>
      </c>
      <c r="GX32">
        <v>71</v>
      </c>
      <c r="GY32">
        <v>98</v>
      </c>
      <c r="GZ32">
        <v>97</v>
      </c>
      <c r="HC32">
        <v>3</v>
      </c>
      <c r="HD32">
        <v>0.6</v>
      </c>
      <c r="HE32">
        <v>176.49</v>
      </c>
      <c r="HF32" t="s">
        <v>364</v>
      </c>
      <c r="HL32">
        <f t="shared" si="2"/>
        <v>64.990000000000009</v>
      </c>
      <c r="HM32" s="16">
        <f t="shared" si="3"/>
        <v>1.2856577645895155</v>
      </c>
      <c r="HN32">
        <f t="shared" si="9"/>
        <v>92.76</v>
      </c>
      <c r="HO32" s="16">
        <f t="shared" si="10"/>
        <v>5.632058287795993</v>
      </c>
      <c r="HP32" s="26">
        <f t="shared" si="6"/>
        <v>27.769999999999996</v>
      </c>
      <c r="HQ32">
        <f>HE32-FP32</f>
        <v>160.02000000000001</v>
      </c>
      <c r="HU32" s="28"/>
      <c r="HW32" s="28"/>
    </row>
    <row r="33" spans="1:255" x14ac:dyDescent="0.35">
      <c r="A33" t="s">
        <v>312</v>
      </c>
      <c r="B33" t="s">
        <v>313</v>
      </c>
      <c r="C33" s="3">
        <v>27345</v>
      </c>
      <c r="D33">
        <v>48</v>
      </c>
      <c r="E33">
        <v>51</v>
      </c>
      <c r="F33">
        <v>170</v>
      </c>
      <c r="G33">
        <f t="shared" si="0"/>
        <v>1.7</v>
      </c>
      <c r="H33">
        <f t="shared" si="1"/>
        <v>17.647058823529413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314</v>
      </c>
      <c r="AK33" s="3">
        <v>45138</v>
      </c>
      <c r="AL33" t="s">
        <v>315</v>
      </c>
      <c r="AN33">
        <v>0</v>
      </c>
      <c r="AO33">
        <v>0</v>
      </c>
      <c r="AP33">
        <v>0</v>
      </c>
      <c r="AQ33">
        <v>0</v>
      </c>
      <c r="AR33">
        <v>0</v>
      </c>
      <c r="AT33">
        <v>2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1</v>
      </c>
      <c r="BB33">
        <v>13.9</v>
      </c>
      <c r="BC33">
        <v>11.6</v>
      </c>
      <c r="BD33">
        <v>148</v>
      </c>
      <c r="BE33">
        <v>66</v>
      </c>
      <c r="BF33">
        <v>2</v>
      </c>
      <c r="BG33">
        <v>47</v>
      </c>
      <c r="BH33">
        <v>129</v>
      </c>
      <c r="BI33">
        <v>98</v>
      </c>
      <c r="BJ33">
        <v>16</v>
      </c>
      <c r="BK33">
        <v>15</v>
      </c>
      <c r="BL33">
        <v>0.34</v>
      </c>
      <c r="BM33">
        <v>29</v>
      </c>
      <c r="BN33">
        <v>6.97</v>
      </c>
      <c r="BO33">
        <v>280</v>
      </c>
      <c r="BP33">
        <v>12</v>
      </c>
      <c r="BQ33">
        <v>3</v>
      </c>
      <c r="BR33">
        <v>1.6</v>
      </c>
      <c r="BS33">
        <v>67</v>
      </c>
      <c r="BT33">
        <v>231</v>
      </c>
      <c r="BU33">
        <v>506</v>
      </c>
      <c r="BV33">
        <v>185</v>
      </c>
      <c r="BW33">
        <v>965</v>
      </c>
      <c r="BX33">
        <v>117</v>
      </c>
      <c r="BY33" s="3">
        <v>45139</v>
      </c>
      <c r="BZ33">
        <v>12</v>
      </c>
      <c r="CA33">
        <v>51</v>
      </c>
      <c r="CB33">
        <v>4</v>
      </c>
      <c r="CC33">
        <v>1</v>
      </c>
      <c r="CD33">
        <v>0</v>
      </c>
      <c r="CE33">
        <v>1</v>
      </c>
      <c r="CF33">
        <v>0</v>
      </c>
      <c r="CG33">
        <v>0</v>
      </c>
      <c r="CH33">
        <v>2</v>
      </c>
      <c r="CI33">
        <v>11</v>
      </c>
      <c r="CJ33">
        <v>10.3</v>
      </c>
      <c r="CK33">
        <v>99</v>
      </c>
      <c r="CL33">
        <v>64</v>
      </c>
      <c r="CM33">
        <v>1.9</v>
      </c>
      <c r="CN33">
        <v>58</v>
      </c>
      <c r="CO33">
        <v>133</v>
      </c>
      <c r="CP33">
        <v>100</v>
      </c>
      <c r="CQ33">
        <v>19</v>
      </c>
      <c r="CR33" t="s">
        <v>282</v>
      </c>
      <c r="CS33" t="s">
        <v>282</v>
      </c>
      <c r="CT33" t="s">
        <v>282</v>
      </c>
      <c r="CU33">
        <v>7.25</v>
      </c>
      <c r="CV33">
        <v>114</v>
      </c>
      <c r="CW33">
        <v>16</v>
      </c>
      <c r="CX33">
        <v>7</v>
      </c>
      <c r="CY33">
        <v>0.8</v>
      </c>
      <c r="CZ33" t="s">
        <v>144</v>
      </c>
      <c r="DA33" t="s">
        <v>144</v>
      </c>
      <c r="DB33">
        <v>320</v>
      </c>
      <c r="DC33">
        <v>140</v>
      </c>
      <c r="DD33" t="s">
        <v>144</v>
      </c>
      <c r="DE33" t="s">
        <v>144</v>
      </c>
      <c r="DF33">
        <v>1</v>
      </c>
      <c r="DG33">
        <v>1</v>
      </c>
      <c r="DH33">
        <v>500</v>
      </c>
      <c r="DI33">
        <v>2000</v>
      </c>
      <c r="DJ33">
        <v>1</v>
      </c>
      <c r="DK33">
        <v>2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94</v>
      </c>
      <c r="DU33">
        <v>73</v>
      </c>
      <c r="DV33">
        <v>81</v>
      </c>
      <c r="DW33">
        <v>107</v>
      </c>
      <c r="DX33">
        <v>36.5</v>
      </c>
      <c r="DY33">
        <v>1</v>
      </c>
      <c r="DZ33">
        <v>0</v>
      </c>
      <c r="EA33">
        <v>0</v>
      </c>
      <c r="EB33">
        <v>0</v>
      </c>
      <c r="ED33">
        <v>0</v>
      </c>
      <c r="EE33">
        <v>2.8</v>
      </c>
      <c r="EF33">
        <v>30</v>
      </c>
      <c r="EG33">
        <v>15</v>
      </c>
      <c r="EH33">
        <v>50</v>
      </c>
      <c r="EI33">
        <v>0</v>
      </c>
      <c r="EJ33">
        <v>0</v>
      </c>
      <c r="EK33">
        <v>1</v>
      </c>
      <c r="EL33">
        <v>7.4</v>
      </c>
      <c r="EM33" t="s">
        <v>144</v>
      </c>
      <c r="EN33" t="s">
        <v>144</v>
      </c>
      <c r="EO33" t="s">
        <v>144</v>
      </c>
      <c r="EP33" t="s">
        <v>144</v>
      </c>
      <c r="EQ33">
        <v>1.35</v>
      </c>
      <c r="ER33">
        <v>391.51</v>
      </c>
      <c r="ES33">
        <v>16.100000000000001</v>
      </c>
      <c r="ET33">
        <v>329.6</v>
      </c>
      <c r="EU33">
        <v>434.4</v>
      </c>
      <c r="EV33">
        <v>93</v>
      </c>
      <c r="EW33">
        <v>74</v>
      </c>
      <c r="EX33">
        <v>82</v>
      </c>
      <c r="EY33">
        <v>109</v>
      </c>
      <c r="EZ33">
        <v>3.2</v>
      </c>
      <c r="FA33" t="s">
        <v>144</v>
      </c>
      <c r="FB33">
        <v>0</v>
      </c>
      <c r="FC33">
        <v>1.1000000000000001</v>
      </c>
      <c r="FD33">
        <v>472.22</v>
      </c>
      <c r="FH33">
        <v>91</v>
      </c>
      <c r="FI33">
        <v>71</v>
      </c>
      <c r="FJ33">
        <v>79</v>
      </c>
      <c r="FK33">
        <v>111</v>
      </c>
      <c r="FL33">
        <v>2.8</v>
      </c>
      <c r="FM33" t="s">
        <v>144</v>
      </c>
      <c r="FN33">
        <v>0</v>
      </c>
      <c r="FO33">
        <v>2.1</v>
      </c>
      <c r="FP33">
        <v>247.26</v>
      </c>
      <c r="FT33">
        <v>92</v>
      </c>
      <c r="FU33">
        <v>74</v>
      </c>
      <c r="FV33">
        <v>81</v>
      </c>
      <c r="FW33">
        <v>101</v>
      </c>
      <c r="FX33">
        <v>3.2</v>
      </c>
      <c r="GE33">
        <v>0</v>
      </c>
      <c r="GF33">
        <v>0.7</v>
      </c>
      <c r="GG33">
        <v>366.7</v>
      </c>
      <c r="GK33">
        <v>95</v>
      </c>
      <c r="GL33">
        <v>77</v>
      </c>
      <c r="GM33">
        <v>85</v>
      </c>
      <c r="GN33">
        <v>108</v>
      </c>
      <c r="GO33">
        <v>3</v>
      </c>
      <c r="GP33" t="s">
        <v>144</v>
      </c>
      <c r="GQ33">
        <v>0</v>
      </c>
      <c r="GR33">
        <v>1.05</v>
      </c>
      <c r="GS33">
        <v>304.64</v>
      </c>
      <c r="GW33">
        <v>100</v>
      </c>
      <c r="GX33">
        <v>77</v>
      </c>
      <c r="GY33">
        <v>86</v>
      </c>
      <c r="GZ33">
        <v>105</v>
      </c>
      <c r="HA33">
        <v>3.2</v>
      </c>
      <c r="HB33" t="s">
        <v>144</v>
      </c>
      <c r="HC33">
        <v>0</v>
      </c>
      <c r="HD33">
        <v>0.8</v>
      </c>
      <c r="HE33">
        <v>370.1</v>
      </c>
      <c r="HL33">
        <f t="shared" si="2"/>
        <v>80.710000000000036</v>
      </c>
      <c r="HM33" s="16">
        <f t="shared" si="3"/>
        <v>0.20615054532451288</v>
      </c>
      <c r="HN33">
        <f t="shared" si="9"/>
        <v>119.44</v>
      </c>
      <c r="HO33" s="16">
        <f t="shared" si="10"/>
        <v>0.48305427485238212</v>
      </c>
      <c r="HP33" s="26">
        <f t="shared" si="6"/>
        <v>38.729999999999961</v>
      </c>
      <c r="HQ33">
        <f>HE33-FP33</f>
        <v>122.84000000000003</v>
      </c>
      <c r="HR33" s="16">
        <f>HQ33/FP33</f>
        <v>0.49680498260939915</v>
      </c>
      <c r="HS33">
        <f>HE33-GG33</f>
        <v>3.4000000000000341</v>
      </c>
      <c r="HT33">
        <f t="shared" ref="HT33:HT39" si="12">EZ33-EE33</f>
        <v>0.40000000000000036</v>
      </c>
      <c r="HU33" s="28">
        <f t="shared" ref="HU33:HU39" si="13">(HT33/EE33)*100</f>
        <v>14.285714285714299</v>
      </c>
      <c r="HV33">
        <f t="shared" ref="HV33:HV39" si="14">FX33-FL33</f>
        <v>0.40000000000000036</v>
      </c>
      <c r="HW33" s="29">
        <f t="shared" ref="HW33:HW39" si="15">(HV33/FL33)*100</f>
        <v>14.285714285714299</v>
      </c>
    </row>
    <row r="34" spans="1:255" ht="16.149999999999999" customHeight="1" x14ac:dyDescent="0.35">
      <c r="A34" s="21" t="s">
        <v>235</v>
      </c>
      <c r="B34" s="21" t="s">
        <v>236</v>
      </c>
      <c r="C34" s="22">
        <v>20460</v>
      </c>
      <c r="D34" s="21">
        <v>67</v>
      </c>
      <c r="E34" s="21">
        <v>75</v>
      </c>
      <c r="F34" s="21">
        <v>164</v>
      </c>
      <c r="G34">
        <f t="shared" si="0"/>
        <v>1.64</v>
      </c>
      <c r="H34">
        <f t="shared" si="1"/>
        <v>27.885187388459254</v>
      </c>
      <c r="I34" s="21">
        <v>1</v>
      </c>
      <c r="J34" s="21">
        <v>0</v>
      </c>
      <c r="K34" s="21">
        <v>0</v>
      </c>
      <c r="L34" s="21">
        <v>0</v>
      </c>
      <c r="M34" s="21">
        <v>1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1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 t="s">
        <v>144</v>
      </c>
      <c r="AG34" s="21">
        <v>0</v>
      </c>
      <c r="AH34" s="21">
        <v>0</v>
      </c>
      <c r="AI34" s="21">
        <v>0</v>
      </c>
      <c r="AJ34" s="21">
        <v>0</v>
      </c>
      <c r="AK34" s="22">
        <v>45005</v>
      </c>
      <c r="AL34" s="21" t="s">
        <v>38</v>
      </c>
      <c r="AM34" s="21"/>
      <c r="AN34" s="21">
        <v>1</v>
      </c>
      <c r="AO34" s="21">
        <v>1</v>
      </c>
      <c r="AP34" s="21">
        <v>0</v>
      </c>
      <c r="AQ34" s="21">
        <v>0</v>
      </c>
      <c r="AR34" s="21">
        <v>0</v>
      </c>
      <c r="AS34" s="21">
        <v>87</v>
      </c>
      <c r="AT34" s="21">
        <v>10</v>
      </c>
      <c r="AU34" s="21">
        <v>4</v>
      </c>
      <c r="AV34" s="21">
        <v>0</v>
      </c>
      <c r="AW34" s="21">
        <v>3</v>
      </c>
      <c r="AX34" s="21">
        <v>4</v>
      </c>
      <c r="AY34" s="21">
        <v>0</v>
      </c>
      <c r="AZ34" s="21">
        <v>0</v>
      </c>
      <c r="BA34" s="21"/>
      <c r="BB34" s="21">
        <v>22.92</v>
      </c>
      <c r="BC34" s="21">
        <v>11.2</v>
      </c>
      <c r="BD34" s="21">
        <v>486</v>
      </c>
      <c r="BE34" s="21">
        <v>61</v>
      </c>
      <c r="BF34" s="21">
        <v>28</v>
      </c>
      <c r="BG34" s="21">
        <v>482</v>
      </c>
      <c r="BH34" s="21">
        <v>131</v>
      </c>
      <c r="BI34" s="21">
        <v>92</v>
      </c>
      <c r="BJ34" s="21">
        <v>5</v>
      </c>
      <c r="BK34" s="21" t="s">
        <v>144</v>
      </c>
      <c r="BL34" s="21" t="s">
        <v>144</v>
      </c>
      <c r="BM34" s="21" t="s">
        <v>144</v>
      </c>
      <c r="BN34" s="21">
        <v>7.07</v>
      </c>
      <c r="BO34" s="21">
        <v>397</v>
      </c>
      <c r="BP34" s="21">
        <v>31</v>
      </c>
      <c r="BQ34" s="21">
        <v>8</v>
      </c>
      <c r="BR34" s="21">
        <v>15.9</v>
      </c>
      <c r="BS34" s="21">
        <v>55</v>
      </c>
      <c r="BT34" s="21">
        <v>80</v>
      </c>
      <c r="BU34" s="21">
        <v>55</v>
      </c>
      <c r="BV34" s="21">
        <v>28</v>
      </c>
      <c r="BW34" s="21">
        <v>911</v>
      </c>
      <c r="BX34" s="21">
        <v>613</v>
      </c>
      <c r="BY34" s="22">
        <v>45015</v>
      </c>
      <c r="BZ34" s="21">
        <v>72</v>
      </c>
      <c r="CA34" s="21">
        <v>72</v>
      </c>
      <c r="CB34" s="21">
        <v>11</v>
      </c>
      <c r="CC34" s="21">
        <v>4</v>
      </c>
      <c r="CD34" s="21">
        <v>3</v>
      </c>
      <c r="CE34" s="21">
        <v>4</v>
      </c>
      <c r="CF34" s="21">
        <v>0</v>
      </c>
      <c r="CG34" s="21">
        <v>0</v>
      </c>
      <c r="CH34" s="21">
        <v>0</v>
      </c>
      <c r="CI34" s="21">
        <v>12.56</v>
      </c>
      <c r="CJ34" s="21">
        <v>8.8000000000000007</v>
      </c>
      <c r="CK34" s="21">
        <v>392</v>
      </c>
      <c r="CL34" s="21">
        <v>65</v>
      </c>
      <c r="CM34" s="21">
        <v>10</v>
      </c>
      <c r="CN34" s="21">
        <v>94</v>
      </c>
      <c r="CO34" s="21">
        <v>143</v>
      </c>
      <c r="CP34" s="21">
        <v>104</v>
      </c>
      <c r="CQ34" s="21">
        <v>9</v>
      </c>
      <c r="CR34" s="21" t="s">
        <v>268</v>
      </c>
      <c r="CS34" s="21" t="s">
        <v>74</v>
      </c>
      <c r="CT34" s="21" t="s">
        <v>268</v>
      </c>
      <c r="CU34" s="21">
        <v>7.51</v>
      </c>
      <c r="CV34" s="21">
        <v>70</v>
      </c>
      <c r="CW34" s="21">
        <v>33</v>
      </c>
      <c r="CX34" s="21">
        <v>26</v>
      </c>
      <c r="CY34" s="21">
        <v>2.7</v>
      </c>
      <c r="CZ34" s="21">
        <v>68</v>
      </c>
      <c r="DA34" s="21" t="s">
        <v>144</v>
      </c>
      <c r="DB34" s="21">
        <v>47</v>
      </c>
      <c r="DC34" s="21">
        <v>19</v>
      </c>
      <c r="DD34" s="21" t="s">
        <v>144</v>
      </c>
      <c r="DE34" s="21" t="s">
        <v>144</v>
      </c>
      <c r="DF34" s="21">
        <v>3</v>
      </c>
      <c r="DG34" s="21">
        <v>1</v>
      </c>
      <c r="DH34" s="21">
        <v>500</v>
      </c>
      <c r="DI34" s="21"/>
      <c r="DJ34" s="21">
        <v>0</v>
      </c>
      <c r="DK34" s="21">
        <v>0</v>
      </c>
      <c r="DL34" s="21">
        <v>0.1</v>
      </c>
      <c r="DM34" s="21">
        <v>1</v>
      </c>
      <c r="DN34" s="21">
        <v>0</v>
      </c>
      <c r="DO34" s="21">
        <v>0</v>
      </c>
      <c r="DP34" s="21">
        <v>0</v>
      </c>
      <c r="DQ34" s="21">
        <v>0</v>
      </c>
      <c r="DR34" s="21">
        <v>0</v>
      </c>
      <c r="DS34" s="21">
        <v>0</v>
      </c>
      <c r="DT34" s="21">
        <v>114</v>
      </c>
      <c r="DU34" s="21">
        <v>56</v>
      </c>
      <c r="DV34" s="21">
        <v>73</v>
      </c>
      <c r="DW34" s="21">
        <v>123</v>
      </c>
      <c r="DX34" s="21">
        <v>39</v>
      </c>
      <c r="DY34" s="21">
        <v>0</v>
      </c>
      <c r="DZ34" s="21">
        <v>1</v>
      </c>
      <c r="EA34" s="21">
        <v>0</v>
      </c>
      <c r="EB34" s="21">
        <v>5</v>
      </c>
      <c r="EC34" s="21">
        <v>40</v>
      </c>
      <c r="ED34" s="21">
        <v>60</v>
      </c>
      <c r="EE34" s="21">
        <v>5.8</v>
      </c>
      <c r="EF34" s="21">
        <v>50</v>
      </c>
      <c r="EG34" s="21">
        <v>8</v>
      </c>
      <c r="EH34" s="21">
        <v>100</v>
      </c>
      <c r="EI34" s="21">
        <v>0</v>
      </c>
      <c r="EJ34" s="21">
        <v>0</v>
      </c>
      <c r="EK34" s="21">
        <v>0.7</v>
      </c>
      <c r="EL34" s="21">
        <v>5.6</v>
      </c>
      <c r="EM34" s="21">
        <v>16</v>
      </c>
      <c r="EN34" s="21" t="s">
        <v>144</v>
      </c>
      <c r="EO34" s="21" t="s">
        <v>144</v>
      </c>
      <c r="EP34" s="21">
        <v>0</v>
      </c>
      <c r="EQ34" s="21">
        <v>1.1000000000000001</v>
      </c>
      <c r="ER34" s="21">
        <v>260.93</v>
      </c>
      <c r="ES34" s="21">
        <v>8.4600000000000009</v>
      </c>
      <c r="ET34" s="21">
        <v>235.13</v>
      </c>
      <c r="EU34" s="21">
        <v>293.52</v>
      </c>
      <c r="EV34" s="21">
        <v>122</v>
      </c>
      <c r="EW34" s="21">
        <v>55</v>
      </c>
      <c r="EX34" s="21">
        <v>73</v>
      </c>
      <c r="EY34" s="21">
        <v>128</v>
      </c>
      <c r="EZ34" s="21">
        <v>6.6</v>
      </c>
      <c r="FA34" s="21">
        <v>12</v>
      </c>
      <c r="FB34" s="21">
        <v>0</v>
      </c>
      <c r="FC34" s="21">
        <v>0.9</v>
      </c>
      <c r="FD34" s="21">
        <v>285</v>
      </c>
      <c r="FE34" s="21"/>
      <c r="FF34" s="21"/>
      <c r="FG34" s="21"/>
      <c r="FH34" s="21">
        <v>109</v>
      </c>
      <c r="FI34" s="21">
        <v>53</v>
      </c>
      <c r="FJ34" s="21">
        <v>69</v>
      </c>
      <c r="FK34" s="21">
        <v>123</v>
      </c>
      <c r="FL34" s="21">
        <v>6.1</v>
      </c>
      <c r="FM34" s="21">
        <v>14</v>
      </c>
      <c r="FN34" s="21">
        <v>0</v>
      </c>
      <c r="FO34" s="21">
        <v>1.05</v>
      </c>
      <c r="FP34" s="21">
        <v>236</v>
      </c>
      <c r="FQ34" s="21"/>
      <c r="FR34" s="21"/>
      <c r="FS34" s="21"/>
      <c r="FT34" s="21">
        <v>114</v>
      </c>
      <c r="FU34" s="21">
        <v>55</v>
      </c>
      <c r="FV34" s="21">
        <v>73</v>
      </c>
      <c r="FW34" s="21">
        <v>117</v>
      </c>
      <c r="FX34" s="21">
        <v>6.1</v>
      </c>
      <c r="FY34" s="21">
        <v>60</v>
      </c>
      <c r="FZ34" s="21">
        <v>12</v>
      </c>
      <c r="GA34" s="21">
        <v>50</v>
      </c>
      <c r="GB34" s="21">
        <v>0.7</v>
      </c>
      <c r="GC34" s="21">
        <v>5.0999999999999996</v>
      </c>
      <c r="GD34" s="21">
        <v>10</v>
      </c>
      <c r="GE34" s="21">
        <v>0</v>
      </c>
      <c r="GF34" s="21">
        <v>0.8</v>
      </c>
      <c r="GG34" s="21">
        <v>366.76</v>
      </c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>
        <f t="shared" si="2"/>
        <v>24.069999999999993</v>
      </c>
      <c r="HM34" s="23">
        <f t="shared" si="3"/>
        <v>9.2246962786954323E-2</v>
      </c>
      <c r="HN34" s="21">
        <f t="shared" si="9"/>
        <v>130.76</v>
      </c>
      <c r="HO34" s="23">
        <f t="shared" si="10"/>
        <v>0.55406779661016947</v>
      </c>
      <c r="HP34" s="26">
        <f t="shared" si="6"/>
        <v>106.69</v>
      </c>
      <c r="HR34" s="23"/>
      <c r="HS34" s="21"/>
      <c r="HT34">
        <f t="shared" si="12"/>
        <v>0.79999999999999982</v>
      </c>
      <c r="HU34" s="28">
        <f t="shared" si="13"/>
        <v>13.793103448275859</v>
      </c>
      <c r="HV34">
        <f t="shared" si="14"/>
        <v>0</v>
      </c>
      <c r="HW34" s="28">
        <f t="shared" si="15"/>
        <v>0</v>
      </c>
    </row>
    <row r="35" spans="1:255" x14ac:dyDescent="0.35">
      <c r="A35" t="s">
        <v>196</v>
      </c>
      <c r="B35" t="s">
        <v>197</v>
      </c>
      <c r="C35" s="3">
        <v>34756</v>
      </c>
      <c r="D35">
        <v>28</v>
      </c>
      <c r="E35">
        <v>107</v>
      </c>
      <c r="F35">
        <v>155</v>
      </c>
      <c r="G35">
        <f t="shared" si="0"/>
        <v>1.55</v>
      </c>
      <c r="H35">
        <f t="shared" si="1"/>
        <v>44.536940686784597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144</v>
      </c>
      <c r="AG35">
        <v>0</v>
      </c>
      <c r="AH35">
        <v>0</v>
      </c>
      <c r="AI35">
        <v>0</v>
      </c>
      <c r="AJ35">
        <v>0</v>
      </c>
      <c r="AK35" s="3">
        <v>44978</v>
      </c>
      <c r="AL35" t="s">
        <v>198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36</v>
      </c>
      <c r="AT35">
        <v>5</v>
      </c>
      <c r="AU35">
        <v>0</v>
      </c>
      <c r="AV35">
        <v>3</v>
      </c>
      <c r="AW35">
        <v>2</v>
      </c>
      <c r="AX35">
        <v>0</v>
      </c>
      <c r="AY35">
        <v>0</v>
      </c>
      <c r="AZ35">
        <v>0</v>
      </c>
      <c r="BB35">
        <v>16.07</v>
      </c>
      <c r="BC35">
        <v>9.3000000000000007</v>
      </c>
      <c r="BD35">
        <v>477</v>
      </c>
      <c r="BE35">
        <v>53</v>
      </c>
      <c r="BF35">
        <v>5.7</v>
      </c>
      <c r="BG35">
        <v>45</v>
      </c>
      <c r="BH35">
        <v>150</v>
      </c>
      <c r="BI35">
        <v>109</v>
      </c>
      <c r="BJ35">
        <v>12</v>
      </c>
      <c r="BK35">
        <v>620</v>
      </c>
      <c r="BL35">
        <v>15.37</v>
      </c>
      <c r="BM35" t="s">
        <v>144</v>
      </c>
      <c r="BN35">
        <v>7.54</v>
      </c>
      <c r="BO35">
        <v>47</v>
      </c>
      <c r="BP35">
        <v>75</v>
      </c>
      <c r="BQ35">
        <v>40</v>
      </c>
      <c r="BR35">
        <v>1.7</v>
      </c>
      <c r="BS35">
        <v>31</v>
      </c>
      <c r="BT35">
        <v>22</v>
      </c>
      <c r="BU35">
        <v>49</v>
      </c>
      <c r="BV35">
        <v>15</v>
      </c>
      <c r="BW35">
        <v>868</v>
      </c>
      <c r="BX35">
        <v>91</v>
      </c>
      <c r="BY35" s="3">
        <v>44948</v>
      </c>
      <c r="BZ35">
        <v>18</v>
      </c>
      <c r="CA35">
        <v>107</v>
      </c>
      <c r="CB35">
        <v>14</v>
      </c>
      <c r="CC35">
        <v>4</v>
      </c>
      <c r="CD35">
        <v>3</v>
      </c>
      <c r="CE35">
        <v>4</v>
      </c>
      <c r="CF35">
        <v>0</v>
      </c>
      <c r="CG35">
        <v>0</v>
      </c>
      <c r="CH35">
        <v>0</v>
      </c>
      <c r="CI35">
        <v>14.86</v>
      </c>
      <c r="CJ35">
        <v>8.9</v>
      </c>
      <c r="CK35">
        <v>488</v>
      </c>
      <c r="CL35">
        <v>53</v>
      </c>
      <c r="CM35">
        <v>4.9000000000000004</v>
      </c>
      <c r="CN35">
        <v>42</v>
      </c>
      <c r="CO35">
        <v>138</v>
      </c>
      <c r="CP35">
        <v>100</v>
      </c>
      <c r="CQ35">
        <v>12</v>
      </c>
      <c r="CR35" t="s">
        <v>144</v>
      </c>
      <c r="CS35" t="s">
        <v>144</v>
      </c>
      <c r="CT35" t="s">
        <v>144</v>
      </c>
      <c r="CU35">
        <v>7.39</v>
      </c>
      <c r="CV35">
        <v>57</v>
      </c>
      <c r="CW35">
        <v>46</v>
      </c>
      <c r="CX35">
        <v>28</v>
      </c>
      <c r="CY35">
        <v>2.2000000000000002</v>
      </c>
      <c r="CZ35">
        <v>59</v>
      </c>
      <c r="DA35" t="s">
        <v>144</v>
      </c>
      <c r="DB35">
        <v>43</v>
      </c>
      <c r="DC35">
        <v>11</v>
      </c>
      <c r="DD35">
        <v>835</v>
      </c>
      <c r="DE35">
        <v>107</v>
      </c>
      <c r="DF35">
        <v>3</v>
      </c>
      <c r="DG35">
        <v>2</v>
      </c>
      <c r="DH35">
        <v>100</v>
      </c>
      <c r="DI35">
        <v>500</v>
      </c>
      <c r="DJ35">
        <v>1</v>
      </c>
      <c r="DK35">
        <v>0</v>
      </c>
      <c r="DM35">
        <v>0</v>
      </c>
      <c r="DN35">
        <v>0</v>
      </c>
      <c r="DO35">
        <v>0</v>
      </c>
      <c r="DP35">
        <v>100</v>
      </c>
      <c r="DQ35">
        <v>0</v>
      </c>
      <c r="DR35">
        <v>0</v>
      </c>
      <c r="DS35">
        <v>0</v>
      </c>
      <c r="DT35">
        <v>151</v>
      </c>
      <c r="DU35">
        <v>83</v>
      </c>
      <c r="DV35">
        <v>105</v>
      </c>
      <c r="DW35">
        <v>148</v>
      </c>
      <c r="DX35">
        <v>39.5</v>
      </c>
      <c r="DY35">
        <v>0</v>
      </c>
      <c r="DZ35">
        <v>0</v>
      </c>
      <c r="EA35">
        <v>1</v>
      </c>
      <c r="EB35">
        <v>10</v>
      </c>
      <c r="EC35">
        <v>100</v>
      </c>
      <c r="ED35">
        <v>60</v>
      </c>
      <c r="EE35">
        <v>7.3</v>
      </c>
      <c r="EF35">
        <v>50</v>
      </c>
      <c r="EG35">
        <v>12</v>
      </c>
      <c r="EH35">
        <v>50</v>
      </c>
      <c r="EI35">
        <v>0</v>
      </c>
      <c r="EJ35">
        <v>0</v>
      </c>
      <c r="EK35">
        <v>0.8</v>
      </c>
      <c r="EL35">
        <v>9.5</v>
      </c>
      <c r="EM35">
        <v>14</v>
      </c>
      <c r="EN35" t="s">
        <v>144</v>
      </c>
      <c r="EO35">
        <v>5</v>
      </c>
      <c r="EP35">
        <v>0</v>
      </c>
      <c r="EQ35">
        <v>2.5299999999999998</v>
      </c>
      <c r="ER35">
        <v>34.72</v>
      </c>
      <c r="ES35">
        <v>4.83</v>
      </c>
      <c r="ET35">
        <v>21.27</v>
      </c>
      <c r="EU35">
        <v>53.47</v>
      </c>
      <c r="EV35">
        <v>144</v>
      </c>
      <c r="EW35">
        <v>80</v>
      </c>
      <c r="EX35">
        <v>99</v>
      </c>
      <c r="EY35">
        <v>148</v>
      </c>
      <c r="EZ35">
        <v>8.1999999999999993</v>
      </c>
      <c r="FA35">
        <v>18</v>
      </c>
      <c r="FB35">
        <v>0</v>
      </c>
      <c r="FC35">
        <v>1.55</v>
      </c>
      <c r="FD35">
        <v>91.04</v>
      </c>
      <c r="FE35">
        <v>31.12</v>
      </c>
      <c r="FF35">
        <v>20.72</v>
      </c>
      <c r="FG35">
        <v>156.91999999999999</v>
      </c>
      <c r="FH35">
        <v>144</v>
      </c>
      <c r="FI35">
        <v>86</v>
      </c>
      <c r="FJ35">
        <v>100</v>
      </c>
      <c r="FK35">
        <v>144</v>
      </c>
      <c r="FL35">
        <v>9</v>
      </c>
      <c r="FM35">
        <v>17</v>
      </c>
      <c r="FN35">
        <v>0</v>
      </c>
      <c r="FO35">
        <v>2.12</v>
      </c>
      <c r="FP35">
        <v>67.92</v>
      </c>
      <c r="FQ35">
        <v>22.51</v>
      </c>
      <c r="FR35">
        <v>26.15</v>
      </c>
      <c r="FS35">
        <v>112</v>
      </c>
      <c r="FT35">
        <v>143</v>
      </c>
      <c r="FU35">
        <v>76</v>
      </c>
      <c r="FV35">
        <v>97</v>
      </c>
      <c r="FW35">
        <v>136</v>
      </c>
      <c r="FX35">
        <v>7.4</v>
      </c>
      <c r="GD35">
        <v>12</v>
      </c>
      <c r="GE35">
        <v>0</v>
      </c>
      <c r="GF35">
        <v>1.32</v>
      </c>
      <c r="GG35">
        <v>209.74</v>
      </c>
      <c r="GH35">
        <v>11.86</v>
      </c>
      <c r="GI35">
        <v>175.48</v>
      </c>
      <c r="GJ35">
        <v>233.34</v>
      </c>
      <c r="HJ35">
        <v>1</v>
      </c>
      <c r="HL35">
        <f t="shared" si="2"/>
        <v>56.320000000000007</v>
      </c>
      <c r="HM35" s="16">
        <f t="shared" si="3"/>
        <v>1.6221198156682031</v>
      </c>
      <c r="HN35">
        <f t="shared" si="9"/>
        <v>141.82</v>
      </c>
      <c r="HO35" s="16">
        <f t="shared" si="10"/>
        <v>2.0880447585394579</v>
      </c>
      <c r="HP35" s="26">
        <f t="shared" si="6"/>
        <v>85.499999999999986</v>
      </c>
      <c r="HR35" s="16"/>
      <c r="HT35">
        <f t="shared" si="12"/>
        <v>0.89999999999999947</v>
      </c>
      <c r="HU35" s="28">
        <f t="shared" si="13"/>
        <v>12.328767123287664</v>
      </c>
      <c r="HV35">
        <f t="shared" si="14"/>
        <v>-1.5999999999999996</v>
      </c>
      <c r="HW35" s="28">
        <f t="shared" si="15"/>
        <v>-17.777777777777771</v>
      </c>
    </row>
    <row r="36" spans="1:255" x14ac:dyDescent="0.35">
      <c r="A36" s="21" t="s">
        <v>305</v>
      </c>
      <c r="B36" s="21" t="s">
        <v>306</v>
      </c>
      <c r="C36" s="22">
        <v>18628</v>
      </c>
      <c r="D36" s="21">
        <v>72</v>
      </c>
      <c r="E36" s="21">
        <v>71.5</v>
      </c>
      <c r="F36" s="21">
        <v>179</v>
      </c>
      <c r="G36">
        <f t="shared" si="0"/>
        <v>1.79</v>
      </c>
      <c r="H36">
        <f t="shared" si="1"/>
        <v>22.315158702911894</v>
      </c>
      <c r="I36" s="21">
        <v>0</v>
      </c>
      <c r="J36" s="21">
        <v>1</v>
      </c>
      <c r="K36" s="21">
        <v>1</v>
      </c>
      <c r="L36" s="21">
        <v>0</v>
      </c>
      <c r="M36" s="21">
        <v>1</v>
      </c>
      <c r="N36" s="21">
        <v>1</v>
      </c>
      <c r="O36" s="21">
        <v>0</v>
      </c>
      <c r="P36" s="21">
        <v>1</v>
      </c>
      <c r="Q36" s="21">
        <v>0</v>
      </c>
      <c r="R36" s="21">
        <v>1</v>
      </c>
      <c r="S36" s="21">
        <v>0</v>
      </c>
      <c r="T36" s="21">
        <v>1</v>
      </c>
      <c r="U36" s="21">
        <v>1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 t="s">
        <v>144</v>
      </c>
      <c r="AG36" s="21"/>
      <c r="AH36" s="21"/>
      <c r="AI36" s="21"/>
      <c r="AJ36" s="21"/>
      <c r="AK36" s="22">
        <v>45137</v>
      </c>
      <c r="AL36" s="21" t="s">
        <v>307</v>
      </c>
      <c r="AM36" s="21"/>
      <c r="AN36" s="21">
        <v>1</v>
      </c>
      <c r="AO36" s="21">
        <v>0</v>
      </c>
      <c r="AP36" s="21">
        <v>0</v>
      </c>
      <c r="AQ36" s="21">
        <v>0</v>
      </c>
      <c r="AR36" s="21">
        <v>0</v>
      </c>
      <c r="AS36" s="21"/>
      <c r="AT36" s="21">
        <v>1</v>
      </c>
      <c r="AU36" s="21">
        <v>0</v>
      </c>
      <c r="AV36" s="21">
        <v>1</v>
      </c>
      <c r="AW36" s="21">
        <v>0</v>
      </c>
      <c r="AX36" s="21">
        <v>0</v>
      </c>
      <c r="AY36" s="21">
        <v>0</v>
      </c>
      <c r="AZ36" s="21">
        <v>0</v>
      </c>
      <c r="BA36" s="21"/>
      <c r="BB36" s="21">
        <v>14</v>
      </c>
      <c r="BC36" s="21">
        <v>10.199999999999999</v>
      </c>
      <c r="BD36" s="21">
        <v>213</v>
      </c>
      <c r="BE36" s="21">
        <v>63</v>
      </c>
      <c r="BF36" s="21">
        <v>15.5</v>
      </c>
      <c r="BG36" s="21">
        <v>63</v>
      </c>
      <c r="BH36" s="21">
        <v>142</v>
      </c>
      <c r="BI36" s="21">
        <v>109</v>
      </c>
      <c r="BJ36" s="21">
        <v>6</v>
      </c>
      <c r="BK36" s="21" t="s">
        <v>144</v>
      </c>
      <c r="BL36" s="21" t="s">
        <v>144</v>
      </c>
      <c r="BM36" s="21" t="s">
        <v>144</v>
      </c>
      <c r="BN36" s="21">
        <v>7.34</v>
      </c>
      <c r="BO36" s="21">
        <v>115</v>
      </c>
      <c r="BP36" s="21">
        <v>44</v>
      </c>
      <c r="BQ36" s="21">
        <v>24</v>
      </c>
      <c r="BR36" s="21">
        <v>2</v>
      </c>
      <c r="BS36" s="21">
        <v>90</v>
      </c>
      <c r="BT36" s="21" t="s">
        <v>144</v>
      </c>
      <c r="BU36" s="21">
        <v>19</v>
      </c>
      <c r="BV36" s="21">
        <v>14</v>
      </c>
      <c r="BW36" s="21">
        <v>337</v>
      </c>
      <c r="BX36" s="21">
        <v>92</v>
      </c>
      <c r="BY36" s="22">
        <v>45139</v>
      </c>
      <c r="BZ36" s="21">
        <v>36</v>
      </c>
      <c r="CA36" s="21">
        <v>71.5</v>
      </c>
      <c r="CB36" s="21">
        <v>2</v>
      </c>
      <c r="CC36" s="21">
        <v>0</v>
      </c>
      <c r="CD36" s="21">
        <v>0</v>
      </c>
      <c r="CE36" s="21">
        <v>1</v>
      </c>
      <c r="CF36" s="21">
        <v>1</v>
      </c>
      <c r="CG36" s="21">
        <v>0</v>
      </c>
      <c r="CH36" s="21">
        <v>0</v>
      </c>
      <c r="CI36" s="21">
        <v>7.17</v>
      </c>
      <c r="CJ36" s="21">
        <v>8.1999999999999993</v>
      </c>
      <c r="CK36" s="21">
        <v>201</v>
      </c>
      <c r="CL36" s="21">
        <v>57</v>
      </c>
      <c r="CM36" s="21">
        <v>12.9</v>
      </c>
      <c r="CN36" s="21">
        <v>130</v>
      </c>
      <c r="CO36" s="21">
        <v>137</v>
      </c>
      <c r="CP36" s="21">
        <v>101</v>
      </c>
      <c r="CQ36" s="21">
        <v>5</v>
      </c>
      <c r="CR36" s="21">
        <v>88</v>
      </c>
      <c r="CS36" s="21">
        <v>1.37</v>
      </c>
      <c r="CT36" s="21" t="s">
        <v>282</v>
      </c>
      <c r="CU36" s="21" t="s">
        <v>144</v>
      </c>
      <c r="CV36" s="21" t="s">
        <v>144</v>
      </c>
      <c r="CW36" s="21" t="s">
        <v>144</v>
      </c>
      <c r="CX36" s="21" t="s">
        <v>144</v>
      </c>
      <c r="CY36" s="21" t="s">
        <v>144</v>
      </c>
      <c r="CZ36" s="21" t="s">
        <v>144</v>
      </c>
      <c r="DA36" s="21" t="s">
        <v>144</v>
      </c>
      <c r="DB36" s="21">
        <v>16</v>
      </c>
      <c r="DC36" s="21">
        <v>17</v>
      </c>
      <c r="DD36" s="21">
        <v>355</v>
      </c>
      <c r="DE36" s="21">
        <v>72</v>
      </c>
      <c r="DF36" s="21">
        <v>1</v>
      </c>
      <c r="DG36" s="21">
        <v>2</v>
      </c>
      <c r="DH36" s="21">
        <v>100</v>
      </c>
      <c r="DI36" s="21"/>
      <c r="DJ36" s="21">
        <v>0</v>
      </c>
      <c r="DK36" s="21">
        <v>0</v>
      </c>
      <c r="DL36" s="21"/>
      <c r="DM36" s="21">
        <v>0</v>
      </c>
      <c r="DN36" s="21">
        <v>0</v>
      </c>
      <c r="DO36" s="21">
        <v>0</v>
      </c>
      <c r="DP36" s="21">
        <v>200</v>
      </c>
      <c r="DQ36" s="21">
        <v>10</v>
      </c>
      <c r="DR36" s="21">
        <v>0</v>
      </c>
      <c r="DS36" s="21">
        <v>0</v>
      </c>
      <c r="DT36" s="21">
        <v>100</v>
      </c>
      <c r="DU36" s="21">
        <v>61</v>
      </c>
      <c r="DV36" s="21">
        <v>76</v>
      </c>
      <c r="DW36" s="21">
        <v>110</v>
      </c>
      <c r="DX36" s="21">
        <v>38.799999999999997</v>
      </c>
      <c r="DY36" s="21">
        <v>0</v>
      </c>
      <c r="DZ36" s="21">
        <v>0</v>
      </c>
      <c r="EA36" s="21">
        <v>1</v>
      </c>
      <c r="EB36" s="21">
        <v>8</v>
      </c>
      <c r="EC36" s="21">
        <v>50</v>
      </c>
      <c r="ED36" s="21">
        <v>60</v>
      </c>
      <c r="EE36" s="21">
        <v>3.8</v>
      </c>
      <c r="EF36" s="21">
        <v>40</v>
      </c>
      <c r="EG36" s="21">
        <v>20</v>
      </c>
      <c r="EH36" s="21">
        <v>0</v>
      </c>
      <c r="EI36" s="21">
        <v>0</v>
      </c>
      <c r="EJ36" s="21">
        <v>0</v>
      </c>
      <c r="EK36" s="21">
        <v>1.4</v>
      </c>
      <c r="EL36" s="21">
        <v>6</v>
      </c>
      <c r="EM36" s="21" t="s">
        <v>144</v>
      </c>
      <c r="EN36" s="21" t="s">
        <v>144</v>
      </c>
      <c r="EO36" s="21" t="s">
        <v>144</v>
      </c>
      <c r="EP36" s="21">
        <v>0</v>
      </c>
      <c r="EQ36" s="21">
        <v>1.9</v>
      </c>
      <c r="ER36" s="21">
        <v>238.68</v>
      </c>
      <c r="ES36" s="21">
        <v>60.9</v>
      </c>
      <c r="ET36" s="21">
        <v>123</v>
      </c>
      <c r="EU36" s="21">
        <v>505</v>
      </c>
      <c r="EV36" s="21">
        <v>122</v>
      </c>
      <c r="EW36" s="21">
        <v>74</v>
      </c>
      <c r="EX36" s="21">
        <v>88</v>
      </c>
      <c r="EY36" s="21">
        <v>111</v>
      </c>
      <c r="EZ36" s="21">
        <v>3.5</v>
      </c>
      <c r="FA36" s="21" t="s">
        <v>144</v>
      </c>
      <c r="FB36" s="21">
        <v>0</v>
      </c>
      <c r="FC36" s="21">
        <v>1.8</v>
      </c>
      <c r="FD36" s="21">
        <v>258.70999999999998</v>
      </c>
      <c r="FE36" s="21"/>
      <c r="FF36" s="21"/>
      <c r="FG36" s="21"/>
      <c r="FH36" s="21">
        <v>121</v>
      </c>
      <c r="FI36" s="21">
        <v>71</v>
      </c>
      <c r="FJ36" s="21">
        <v>87</v>
      </c>
      <c r="FK36" s="21">
        <v>112</v>
      </c>
      <c r="FL36" s="21">
        <v>3.2</v>
      </c>
      <c r="FM36" s="21" t="s">
        <v>144</v>
      </c>
      <c r="FN36" s="21">
        <v>0</v>
      </c>
      <c r="FO36" s="21">
        <v>1.8</v>
      </c>
      <c r="FP36" s="21">
        <v>166.69</v>
      </c>
      <c r="FQ36" s="21"/>
      <c r="FR36" s="21"/>
      <c r="FS36" s="21"/>
      <c r="FT36" s="21">
        <v>115</v>
      </c>
      <c r="FU36" s="21">
        <v>70</v>
      </c>
      <c r="FV36" s="21">
        <v>84</v>
      </c>
      <c r="FW36" s="21">
        <v>111</v>
      </c>
      <c r="FX36" s="21">
        <v>3.5</v>
      </c>
      <c r="FY36" s="21">
        <v>40</v>
      </c>
      <c r="FZ36" s="21">
        <v>1.2</v>
      </c>
      <c r="GA36" s="21" t="s">
        <v>144</v>
      </c>
      <c r="GB36" s="21">
        <v>19</v>
      </c>
      <c r="GC36" s="21">
        <v>0</v>
      </c>
      <c r="GD36" s="21" t="s">
        <v>144</v>
      </c>
      <c r="GE36" s="21">
        <v>0</v>
      </c>
      <c r="GF36" s="21">
        <v>1.6</v>
      </c>
      <c r="GG36" s="21">
        <v>408.49</v>
      </c>
      <c r="GH36" s="21"/>
      <c r="GI36" s="21"/>
      <c r="GJ36" s="21"/>
      <c r="GK36" s="21">
        <v>120</v>
      </c>
      <c r="GL36" s="21">
        <v>70</v>
      </c>
      <c r="GM36" s="21">
        <v>85</v>
      </c>
      <c r="GN36" s="21">
        <v>110</v>
      </c>
      <c r="GO36" s="21">
        <v>3.4</v>
      </c>
      <c r="GP36" s="21" t="s">
        <v>144</v>
      </c>
      <c r="GQ36" s="21">
        <v>0</v>
      </c>
      <c r="GR36" s="21">
        <v>1.55</v>
      </c>
      <c r="GS36" s="21">
        <v>403.44</v>
      </c>
      <c r="GT36" s="21"/>
      <c r="GU36" s="21"/>
      <c r="GV36" s="21"/>
      <c r="GW36" s="21">
        <v>114</v>
      </c>
      <c r="GX36" s="21">
        <v>67</v>
      </c>
      <c r="GY36" s="21">
        <v>82</v>
      </c>
      <c r="GZ36" s="21">
        <v>110</v>
      </c>
      <c r="HA36" s="21">
        <v>3.5</v>
      </c>
      <c r="HB36" s="21" t="s">
        <v>144</v>
      </c>
      <c r="HC36" s="21">
        <v>0</v>
      </c>
      <c r="HD36" s="21">
        <v>0.9</v>
      </c>
      <c r="HE36" s="21">
        <v>380.1</v>
      </c>
      <c r="HF36" s="21"/>
      <c r="HG36" s="21"/>
      <c r="HH36" s="21"/>
      <c r="HI36" s="21"/>
      <c r="HJ36" s="21"/>
      <c r="HK36" s="21"/>
      <c r="HL36" s="21">
        <f t="shared" si="2"/>
        <v>20.029999999999973</v>
      </c>
      <c r="HM36" s="23">
        <f t="shared" si="3"/>
        <v>8.3919892743422042E-2</v>
      </c>
      <c r="HN36" s="21">
        <f t="shared" si="9"/>
        <v>241.8</v>
      </c>
      <c r="HO36" s="23">
        <f t="shared" si="10"/>
        <v>1.4505969164316996</v>
      </c>
      <c r="HP36" s="26">
        <f t="shared" si="6"/>
        <v>221.77000000000004</v>
      </c>
      <c r="HQ36">
        <f>HE36-FP36</f>
        <v>213.41000000000003</v>
      </c>
      <c r="HR36" s="23">
        <f>HQ36/FP36</f>
        <v>1.2802807606935032</v>
      </c>
      <c r="HS36" s="21">
        <f>HE36-GG36</f>
        <v>-28.389999999999986</v>
      </c>
      <c r="HT36">
        <f t="shared" si="12"/>
        <v>-0.29999999999999982</v>
      </c>
      <c r="HU36" s="28">
        <f t="shared" si="13"/>
        <v>-7.8947368421052584</v>
      </c>
      <c r="HV36">
        <f t="shared" si="14"/>
        <v>0.29999999999999982</v>
      </c>
      <c r="HW36" s="28">
        <f t="shared" si="15"/>
        <v>9.3749999999999947</v>
      </c>
    </row>
    <row r="37" spans="1:255" s="17" customFormat="1" x14ac:dyDescent="0.35">
      <c r="A37" s="21" t="s">
        <v>319</v>
      </c>
      <c r="B37" s="21" t="s">
        <v>320</v>
      </c>
      <c r="C37" s="22">
        <v>24869</v>
      </c>
      <c r="D37" s="21">
        <v>55</v>
      </c>
      <c r="E37" s="21">
        <v>47.5</v>
      </c>
      <c r="F37" s="21">
        <v>172</v>
      </c>
      <c r="G37">
        <f t="shared" si="0"/>
        <v>1.72</v>
      </c>
      <c r="H37">
        <f t="shared" si="1"/>
        <v>16.055976203353165</v>
      </c>
      <c r="I37" s="21">
        <v>0</v>
      </c>
      <c r="J37" s="21">
        <v>1</v>
      </c>
      <c r="K37" s="21">
        <v>1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1</v>
      </c>
      <c r="AD37" s="21">
        <v>0</v>
      </c>
      <c r="AE37" s="21">
        <v>0</v>
      </c>
      <c r="AF37" s="21" t="s">
        <v>144</v>
      </c>
      <c r="AG37" s="21"/>
      <c r="AH37" s="21"/>
      <c r="AI37" s="21"/>
      <c r="AJ37" s="21"/>
      <c r="AK37" s="22">
        <v>45134</v>
      </c>
      <c r="AL37" s="21" t="s">
        <v>321</v>
      </c>
      <c r="AM37" s="21"/>
      <c r="AN37" s="21">
        <v>1</v>
      </c>
      <c r="AO37" s="21">
        <v>1</v>
      </c>
      <c r="AP37" s="21">
        <v>0</v>
      </c>
      <c r="AQ37" s="21">
        <v>0</v>
      </c>
      <c r="AR37" s="21">
        <v>0</v>
      </c>
      <c r="AS37" s="21"/>
      <c r="AT37" s="21">
        <v>10</v>
      </c>
      <c r="AU37" s="21">
        <v>4</v>
      </c>
      <c r="AV37" s="21">
        <v>1</v>
      </c>
      <c r="AW37" s="21">
        <v>4</v>
      </c>
      <c r="AX37" s="21">
        <v>0</v>
      </c>
      <c r="AY37" s="21">
        <v>1</v>
      </c>
      <c r="AZ37" s="21">
        <v>0</v>
      </c>
      <c r="BA37" s="21"/>
      <c r="BB37" s="21">
        <v>14</v>
      </c>
      <c r="BC37" s="21">
        <v>13</v>
      </c>
      <c r="BD37" s="21">
        <v>170</v>
      </c>
      <c r="BE37" s="21">
        <v>94</v>
      </c>
      <c r="BF37" s="21">
        <v>3</v>
      </c>
      <c r="BG37" s="21">
        <v>51</v>
      </c>
      <c r="BH37" s="21">
        <v>136</v>
      </c>
      <c r="BI37" s="21">
        <v>106</v>
      </c>
      <c r="BJ37" s="21">
        <v>24</v>
      </c>
      <c r="BK37" s="21">
        <v>48</v>
      </c>
      <c r="BL37" s="21">
        <v>0.56000000000000005</v>
      </c>
      <c r="BM37" s="21">
        <v>21</v>
      </c>
      <c r="BN37" s="21">
        <v>7.29</v>
      </c>
      <c r="BO37" s="21">
        <v>307</v>
      </c>
      <c r="BP37" s="21">
        <v>46</v>
      </c>
      <c r="BQ37" s="21">
        <v>22</v>
      </c>
      <c r="BR37" s="21">
        <v>1.6</v>
      </c>
      <c r="BS37" s="21">
        <v>59</v>
      </c>
      <c r="BT37" s="21">
        <v>92</v>
      </c>
      <c r="BU37" s="21">
        <v>93</v>
      </c>
      <c r="BV37" s="21">
        <v>15</v>
      </c>
      <c r="BW37" s="21">
        <v>529</v>
      </c>
      <c r="BX37" s="21">
        <v>593</v>
      </c>
      <c r="BY37" s="22">
        <v>45138</v>
      </c>
      <c r="BZ37" s="21"/>
      <c r="CA37" s="21">
        <v>52</v>
      </c>
      <c r="CB37" s="21">
        <v>7</v>
      </c>
      <c r="CC37" s="21">
        <v>3</v>
      </c>
      <c r="CD37" s="21">
        <v>3</v>
      </c>
      <c r="CE37" s="21">
        <v>0</v>
      </c>
      <c r="CF37" s="21">
        <v>0</v>
      </c>
      <c r="CG37" s="21">
        <v>0</v>
      </c>
      <c r="CH37" s="21">
        <v>1</v>
      </c>
      <c r="CI37" s="21">
        <v>5.9</v>
      </c>
      <c r="CJ37" s="21">
        <v>10.8</v>
      </c>
      <c r="CK37" s="21">
        <v>111</v>
      </c>
      <c r="CL37" s="21">
        <v>83</v>
      </c>
      <c r="CM37" s="21">
        <v>8.4</v>
      </c>
      <c r="CN37" s="21">
        <v>83</v>
      </c>
      <c r="CO37" s="21">
        <v>143</v>
      </c>
      <c r="CP37" s="21">
        <v>110</v>
      </c>
      <c r="CQ37" s="21">
        <v>15</v>
      </c>
      <c r="CR37" s="21" t="s">
        <v>144</v>
      </c>
      <c r="CS37" s="21" t="s">
        <v>144</v>
      </c>
      <c r="CT37" s="21" t="s">
        <v>144</v>
      </c>
      <c r="CU37" s="21">
        <v>7.4</v>
      </c>
      <c r="CV37" s="21">
        <v>73</v>
      </c>
      <c r="CW37" s="21">
        <v>42</v>
      </c>
      <c r="CX37" s="21">
        <v>30</v>
      </c>
      <c r="CY37" s="21">
        <v>1.5</v>
      </c>
      <c r="CZ37" s="21">
        <v>66</v>
      </c>
      <c r="DA37" s="21" t="s">
        <v>144</v>
      </c>
      <c r="DB37" s="21">
        <v>93</v>
      </c>
      <c r="DC37" s="21">
        <v>25</v>
      </c>
      <c r="DD37" s="21">
        <v>533</v>
      </c>
      <c r="DE37" s="21">
        <v>223</v>
      </c>
      <c r="DF37" s="21">
        <v>1</v>
      </c>
      <c r="DG37" s="21">
        <v>1</v>
      </c>
      <c r="DH37" s="21">
        <v>500</v>
      </c>
      <c r="DI37" s="21"/>
      <c r="DJ37" s="21">
        <v>0</v>
      </c>
      <c r="DK37" s="21">
        <v>0</v>
      </c>
      <c r="DL37" s="21">
        <v>0.05</v>
      </c>
      <c r="DM37" s="21">
        <v>1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115</v>
      </c>
      <c r="DU37" s="21">
        <v>76</v>
      </c>
      <c r="DV37" s="21">
        <v>90</v>
      </c>
      <c r="DW37" s="21">
        <v>106</v>
      </c>
      <c r="DX37" s="21">
        <v>36.4</v>
      </c>
      <c r="DY37" s="21">
        <v>0</v>
      </c>
      <c r="DZ37" s="21">
        <v>1</v>
      </c>
      <c r="EA37" s="21">
        <v>0</v>
      </c>
      <c r="EB37" s="21">
        <v>6</v>
      </c>
      <c r="EC37" s="21">
        <v>60</v>
      </c>
      <c r="ED37" s="21">
        <v>60</v>
      </c>
      <c r="EE37" s="21">
        <v>3.5</v>
      </c>
      <c r="EF37" s="21">
        <v>30</v>
      </c>
      <c r="EG37" s="21">
        <v>15</v>
      </c>
      <c r="EH37" s="21">
        <v>50</v>
      </c>
      <c r="EI37" s="21">
        <v>0</v>
      </c>
      <c r="EJ37" s="21">
        <v>0</v>
      </c>
      <c r="EK37" s="21">
        <v>0.8</v>
      </c>
      <c r="EL37" s="21">
        <v>5</v>
      </c>
      <c r="EM37" s="21" t="s">
        <v>144</v>
      </c>
      <c r="EN37" s="21" t="s">
        <v>144</v>
      </c>
      <c r="EO37" s="21" t="s">
        <v>144</v>
      </c>
      <c r="EP37" s="21" t="s">
        <v>144</v>
      </c>
      <c r="EQ37" s="21">
        <v>0.8</v>
      </c>
      <c r="ER37" s="21">
        <v>598.20000000000005</v>
      </c>
      <c r="ES37" s="21"/>
      <c r="ET37" s="21"/>
      <c r="EU37" s="21"/>
      <c r="EV37" s="21">
        <v>110</v>
      </c>
      <c r="EW37" s="21">
        <v>70</v>
      </c>
      <c r="EX37" s="21">
        <v>89</v>
      </c>
      <c r="EY37" s="21">
        <v>107</v>
      </c>
      <c r="EZ37" s="21">
        <v>4.2</v>
      </c>
      <c r="FA37" s="21" t="s">
        <v>144</v>
      </c>
      <c r="FB37" s="21" t="s">
        <v>144</v>
      </c>
      <c r="FC37" s="21">
        <v>0.7</v>
      </c>
      <c r="FD37" s="21">
        <v>624</v>
      </c>
      <c r="FE37" s="21"/>
      <c r="FF37" s="21"/>
      <c r="FG37" s="21"/>
      <c r="FH37" s="21">
        <v>112</v>
      </c>
      <c r="FI37" s="21">
        <v>72</v>
      </c>
      <c r="FJ37" s="21">
        <v>88</v>
      </c>
      <c r="FK37" s="21">
        <v>107</v>
      </c>
      <c r="FL37" s="21">
        <v>3.4</v>
      </c>
      <c r="FM37" s="21" t="s">
        <v>144</v>
      </c>
      <c r="FN37" s="21" t="s">
        <v>144</v>
      </c>
      <c r="FO37" s="21">
        <v>0.9</v>
      </c>
      <c r="FP37" s="21">
        <v>417.6</v>
      </c>
      <c r="FQ37" s="21"/>
      <c r="FR37" s="21"/>
      <c r="FS37" s="21"/>
      <c r="FT37" s="21">
        <v>117</v>
      </c>
      <c r="FU37" s="21">
        <v>79</v>
      </c>
      <c r="FV37" s="21">
        <v>97</v>
      </c>
      <c r="FW37" s="21">
        <v>110</v>
      </c>
      <c r="FX37" s="21">
        <v>3.5</v>
      </c>
      <c r="FY37" s="21"/>
      <c r="FZ37" s="21"/>
      <c r="GA37" s="21"/>
      <c r="GB37" s="21"/>
      <c r="GC37" s="21"/>
      <c r="GD37" s="21"/>
      <c r="GE37" s="21"/>
      <c r="GF37" s="21">
        <v>0.8</v>
      </c>
      <c r="GG37" s="21">
        <v>724.35</v>
      </c>
      <c r="GH37" s="21"/>
      <c r="GI37" s="21"/>
      <c r="GJ37" s="21"/>
      <c r="GK37" s="21">
        <v>115</v>
      </c>
      <c r="GL37" s="21">
        <v>74</v>
      </c>
      <c r="GM37" s="21">
        <v>91</v>
      </c>
      <c r="GN37" s="21">
        <v>110</v>
      </c>
      <c r="GO37" s="21">
        <v>3.5</v>
      </c>
      <c r="GP37" s="21"/>
      <c r="GQ37" s="21"/>
      <c r="GR37" s="21">
        <v>0.7</v>
      </c>
      <c r="GS37" s="21">
        <v>712.41</v>
      </c>
      <c r="GT37" s="21"/>
      <c r="GU37" s="21"/>
      <c r="GV37" s="21"/>
      <c r="GW37" s="21">
        <v>116</v>
      </c>
      <c r="GX37" s="21">
        <v>75</v>
      </c>
      <c r="GY37" s="21">
        <v>91</v>
      </c>
      <c r="GZ37" s="21">
        <v>109</v>
      </c>
      <c r="HA37" s="21">
        <v>3.5</v>
      </c>
      <c r="HB37" s="21" t="s">
        <v>144</v>
      </c>
      <c r="HC37" s="21" t="s">
        <v>144</v>
      </c>
      <c r="HD37" s="21">
        <v>0.7</v>
      </c>
      <c r="HE37" s="21">
        <v>742.18</v>
      </c>
      <c r="HF37" s="21"/>
      <c r="HG37" s="21"/>
      <c r="HH37" s="21"/>
      <c r="HI37" s="21"/>
      <c r="HJ37" s="21"/>
      <c r="HK37" s="21"/>
      <c r="HL37" s="21">
        <f t="shared" si="2"/>
        <v>25.799999999999955</v>
      </c>
      <c r="HM37" s="23">
        <f t="shared" si="3"/>
        <v>4.3129388164493403E-2</v>
      </c>
      <c r="HN37" s="21">
        <f t="shared" si="9"/>
        <v>306.75</v>
      </c>
      <c r="HO37" s="23">
        <f t="shared" si="10"/>
        <v>0.73455459770114939</v>
      </c>
      <c r="HP37" s="27">
        <f t="shared" si="6"/>
        <v>280.95000000000005</v>
      </c>
      <c r="HQ37" s="21">
        <f>HE37-FP37</f>
        <v>324.57999999999993</v>
      </c>
      <c r="HR37" s="23">
        <f>HQ37/FP37</f>
        <v>0.7772509578544059</v>
      </c>
      <c r="HS37" s="21">
        <f>HE37-GG37</f>
        <v>17.829999999999927</v>
      </c>
      <c r="HT37">
        <f t="shared" si="12"/>
        <v>0.70000000000000018</v>
      </c>
      <c r="HU37" s="28">
        <f t="shared" si="13"/>
        <v>20.000000000000004</v>
      </c>
      <c r="HV37">
        <f t="shared" si="14"/>
        <v>0.10000000000000009</v>
      </c>
      <c r="HW37" s="28">
        <f t="shared" si="15"/>
        <v>2.9411764705882382</v>
      </c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</row>
    <row r="38" spans="1:255" x14ac:dyDescent="0.35">
      <c r="A38" t="s">
        <v>365</v>
      </c>
      <c r="B38" t="s">
        <v>366</v>
      </c>
      <c r="C38" s="3">
        <v>27646</v>
      </c>
      <c r="D38">
        <v>48</v>
      </c>
      <c r="E38">
        <v>75</v>
      </c>
      <c r="F38">
        <v>175</v>
      </c>
      <c r="G38">
        <f t="shared" si="0"/>
        <v>1.75</v>
      </c>
      <c r="H38">
        <f t="shared" si="1"/>
        <v>24.489795918367346</v>
      </c>
      <c r="I38">
        <v>0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K38" s="3">
        <v>45210</v>
      </c>
      <c r="AL38" t="s">
        <v>39</v>
      </c>
      <c r="AN38">
        <v>0</v>
      </c>
      <c r="AO38">
        <v>0</v>
      </c>
      <c r="AP38">
        <v>1</v>
      </c>
      <c r="AQ38">
        <v>0</v>
      </c>
      <c r="AR38">
        <v>0</v>
      </c>
      <c r="AT38">
        <v>10</v>
      </c>
      <c r="AU38">
        <v>4</v>
      </c>
      <c r="AV38">
        <v>0</v>
      </c>
      <c r="AW38">
        <v>0</v>
      </c>
      <c r="AX38">
        <v>0</v>
      </c>
      <c r="AY38">
        <v>3</v>
      </c>
      <c r="AZ38">
        <v>3</v>
      </c>
      <c r="BB38">
        <v>9.9</v>
      </c>
      <c r="BC38">
        <v>6.2</v>
      </c>
      <c r="BD38">
        <v>50</v>
      </c>
      <c r="BE38">
        <v>47</v>
      </c>
      <c r="BF38">
        <v>5.8</v>
      </c>
      <c r="BG38">
        <v>71</v>
      </c>
      <c r="BH38">
        <v>138</v>
      </c>
      <c r="BI38">
        <v>106</v>
      </c>
      <c r="BJ38">
        <v>190</v>
      </c>
      <c r="BN38">
        <v>7.41</v>
      </c>
      <c r="BO38">
        <v>84</v>
      </c>
      <c r="BP38">
        <v>34</v>
      </c>
      <c r="BQ38">
        <v>22</v>
      </c>
      <c r="BR38">
        <v>3.3</v>
      </c>
      <c r="BS38">
        <v>33</v>
      </c>
      <c r="BT38">
        <v>36</v>
      </c>
      <c r="BU38">
        <v>153</v>
      </c>
      <c r="BV38">
        <v>28</v>
      </c>
      <c r="BW38">
        <v>409</v>
      </c>
      <c r="BY38" s="3">
        <v>45211</v>
      </c>
      <c r="BZ38">
        <v>22</v>
      </c>
      <c r="CA38">
        <v>75</v>
      </c>
      <c r="CC38">
        <v>4</v>
      </c>
      <c r="CD38">
        <v>0</v>
      </c>
      <c r="CE38">
        <v>0</v>
      </c>
      <c r="CF38">
        <v>0</v>
      </c>
      <c r="CG38">
        <v>4</v>
      </c>
      <c r="CH38">
        <v>2</v>
      </c>
      <c r="CI38">
        <v>9.5</v>
      </c>
      <c r="CJ38">
        <v>8.1999999999999993</v>
      </c>
      <c r="CK38">
        <v>69</v>
      </c>
      <c r="CL38">
        <v>47</v>
      </c>
      <c r="CM38">
        <v>5.8</v>
      </c>
      <c r="CN38">
        <v>71</v>
      </c>
      <c r="CO38">
        <v>138</v>
      </c>
      <c r="CP38">
        <v>106</v>
      </c>
      <c r="CQ38">
        <v>250</v>
      </c>
      <c r="CU38">
        <v>7.48</v>
      </c>
      <c r="CV38">
        <v>69</v>
      </c>
      <c r="CW38">
        <v>33</v>
      </c>
      <c r="CX38">
        <v>25</v>
      </c>
      <c r="CY38">
        <v>4.0999999999999996</v>
      </c>
      <c r="CZ38">
        <v>35</v>
      </c>
      <c r="DA38">
        <v>38</v>
      </c>
      <c r="DB38">
        <v>147</v>
      </c>
      <c r="DC38">
        <v>30</v>
      </c>
      <c r="DD38">
        <v>443</v>
      </c>
      <c r="DE38">
        <v>45</v>
      </c>
      <c r="DF38">
        <v>1</v>
      </c>
      <c r="DG38">
        <v>2</v>
      </c>
      <c r="DH38">
        <v>100</v>
      </c>
      <c r="DI38">
        <v>500</v>
      </c>
      <c r="DJ38">
        <v>1</v>
      </c>
      <c r="DK38">
        <v>200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105</v>
      </c>
      <c r="DU38">
        <v>51</v>
      </c>
      <c r="DV38">
        <v>70</v>
      </c>
      <c r="DW38">
        <v>107</v>
      </c>
      <c r="DX38">
        <v>38.1</v>
      </c>
      <c r="DY38">
        <v>1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8</v>
      </c>
      <c r="EF38">
        <v>50</v>
      </c>
      <c r="EG38" t="s">
        <v>144</v>
      </c>
      <c r="EH38" t="s">
        <v>144</v>
      </c>
      <c r="EI38" t="s">
        <v>144</v>
      </c>
      <c r="EJ38" t="s">
        <v>144</v>
      </c>
      <c r="EK38">
        <v>0.7</v>
      </c>
      <c r="EL38">
        <v>5.5</v>
      </c>
      <c r="EM38" t="s">
        <v>144</v>
      </c>
      <c r="EN38" t="s">
        <v>144</v>
      </c>
      <c r="EO38" t="s">
        <v>144</v>
      </c>
      <c r="EP38">
        <v>0</v>
      </c>
      <c r="EQ38">
        <v>2.8</v>
      </c>
      <c r="ER38">
        <v>107.34</v>
      </c>
      <c r="EV38">
        <v>108</v>
      </c>
      <c r="EW38">
        <v>51</v>
      </c>
      <c r="EX38">
        <v>71</v>
      </c>
      <c r="EY38">
        <v>104</v>
      </c>
      <c r="EZ38">
        <v>7.9</v>
      </c>
      <c r="FC38">
        <v>2.9</v>
      </c>
      <c r="FD38">
        <v>187.21</v>
      </c>
      <c r="FH38">
        <v>166</v>
      </c>
      <c r="FI38">
        <v>53</v>
      </c>
      <c r="FJ38">
        <v>71</v>
      </c>
      <c r="FK38">
        <v>105</v>
      </c>
      <c r="FL38">
        <v>7.9</v>
      </c>
      <c r="FO38">
        <v>2.7</v>
      </c>
      <c r="FP38">
        <v>161.79</v>
      </c>
      <c r="FT38">
        <v>115</v>
      </c>
      <c r="FU38">
        <v>56</v>
      </c>
      <c r="FV38">
        <v>77</v>
      </c>
      <c r="FW38">
        <v>105</v>
      </c>
      <c r="FX38">
        <v>8.1</v>
      </c>
      <c r="FY38">
        <v>50</v>
      </c>
      <c r="GF38">
        <v>2.1</v>
      </c>
      <c r="GG38">
        <v>482.53</v>
      </c>
      <c r="GK38">
        <v>99</v>
      </c>
      <c r="GL38">
        <v>50</v>
      </c>
      <c r="GM38">
        <v>67</v>
      </c>
      <c r="GN38">
        <v>107</v>
      </c>
      <c r="GW38">
        <v>99</v>
      </c>
      <c r="GX38">
        <v>50</v>
      </c>
      <c r="GY38">
        <v>67</v>
      </c>
      <c r="GZ38">
        <v>107</v>
      </c>
      <c r="HD38">
        <v>1.9</v>
      </c>
      <c r="HE38">
        <v>360.73</v>
      </c>
      <c r="HL38">
        <f t="shared" si="2"/>
        <v>79.87</v>
      </c>
      <c r="HM38" s="16">
        <f t="shared" si="3"/>
        <v>0.74408421837152972</v>
      </c>
      <c r="HN38">
        <f t="shared" si="9"/>
        <v>320.74</v>
      </c>
      <c r="HO38" s="16">
        <f t="shared" si="10"/>
        <v>1.9824463811113173</v>
      </c>
      <c r="HP38" s="26">
        <f t="shared" si="6"/>
        <v>240.87</v>
      </c>
      <c r="HQ38">
        <f>HE38-FP38</f>
        <v>198.94000000000003</v>
      </c>
      <c r="HT38">
        <f t="shared" si="12"/>
        <v>-9.9999999999999645E-2</v>
      </c>
      <c r="HU38" s="28">
        <f t="shared" si="13"/>
        <v>-1.2499999999999956</v>
      </c>
      <c r="HV38">
        <f t="shared" si="14"/>
        <v>0.19999999999999929</v>
      </c>
      <c r="HW38" s="28">
        <f t="shared" si="15"/>
        <v>2.531645569620244</v>
      </c>
    </row>
    <row r="39" spans="1:255" x14ac:dyDescent="0.35">
      <c r="A39" t="s">
        <v>309</v>
      </c>
      <c r="B39" t="s">
        <v>310</v>
      </c>
      <c r="C39" s="3">
        <v>29207</v>
      </c>
      <c r="D39">
        <v>43</v>
      </c>
      <c r="E39">
        <v>81</v>
      </c>
      <c r="F39">
        <v>160</v>
      </c>
      <c r="G39">
        <f t="shared" si="0"/>
        <v>1.6</v>
      </c>
      <c r="H39">
        <f t="shared" si="1"/>
        <v>31.640624999999993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 t="s">
        <v>311</v>
      </c>
      <c r="AC39">
        <v>0</v>
      </c>
      <c r="AD39">
        <v>0</v>
      </c>
      <c r="AE39">
        <v>0</v>
      </c>
      <c r="AF39" t="s">
        <v>144</v>
      </c>
      <c r="AK39" s="3">
        <v>45134</v>
      </c>
      <c r="AL39" t="s">
        <v>297</v>
      </c>
      <c r="AN39">
        <v>1</v>
      </c>
      <c r="AO39">
        <v>1</v>
      </c>
      <c r="AP39">
        <v>0</v>
      </c>
      <c r="AQ39">
        <v>0</v>
      </c>
      <c r="AR39">
        <v>0</v>
      </c>
      <c r="AT39">
        <v>11</v>
      </c>
      <c r="AU39">
        <v>4</v>
      </c>
      <c r="AV39">
        <v>0</v>
      </c>
      <c r="AW39">
        <v>4</v>
      </c>
      <c r="AX39">
        <v>3</v>
      </c>
      <c r="AY39">
        <v>0</v>
      </c>
      <c r="AZ39">
        <v>0</v>
      </c>
      <c r="BB39">
        <v>10.15</v>
      </c>
      <c r="BC39">
        <v>9.1</v>
      </c>
      <c r="BD39">
        <v>191</v>
      </c>
      <c r="BE39">
        <v>45</v>
      </c>
      <c r="BF39">
        <v>32.700000000000003</v>
      </c>
      <c r="BG39">
        <v>387</v>
      </c>
      <c r="BH39">
        <v>132</v>
      </c>
      <c r="BI39">
        <v>104</v>
      </c>
      <c r="BJ39">
        <v>7</v>
      </c>
      <c r="BK39">
        <v>35</v>
      </c>
      <c r="BL39">
        <v>4</v>
      </c>
      <c r="BM39">
        <v>22.8</v>
      </c>
      <c r="BN39">
        <v>7.15</v>
      </c>
      <c r="BO39">
        <v>226</v>
      </c>
      <c r="BP39">
        <v>20</v>
      </c>
      <c r="BQ39">
        <v>8</v>
      </c>
      <c r="BR39">
        <v>1.9</v>
      </c>
      <c r="BS39">
        <v>70</v>
      </c>
      <c r="BT39">
        <v>181</v>
      </c>
      <c r="BU39">
        <v>25</v>
      </c>
      <c r="BV39">
        <v>52</v>
      </c>
      <c r="BW39">
        <v>1031</v>
      </c>
      <c r="BX39">
        <v>38</v>
      </c>
      <c r="BY39" s="3">
        <v>45139</v>
      </c>
      <c r="CA39">
        <v>92</v>
      </c>
      <c r="CB39">
        <v>10</v>
      </c>
      <c r="CC39">
        <v>1</v>
      </c>
      <c r="CD39">
        <v>0</v>
      </c>
      <c r="CE39">
        <v>4</v>
      </c>
      <c r="CF39">
        <v>2</v>
      </c>
      <c r="CG39">
        <v>0</v>
      </c>
      <c r="CH39">
        <v>3</v>
      </c>
      <c r="CI39">
        <v>3.22</v>
      </c>
      <c r="CJ39">
        <v>9.1</v>
      </c>
      <c r="CK39">
        <v>37</v>
      </c>
      <c r="CL39">
        <v>94</v>
      </c>
      <c r="CM39">
        <v>21</v>
      </c>
      <c r="CN39">
        <v>237</v>
      </c>
      <c r="CO39">
        <v>138</v>
      </c>
      <c r="CP39">
        <v>112</v>
      </c>
      <c r="CQ39">
        <v>7</v>
      </c>
      <c r="CR39" t="s">
        <v>282</v>
      </c>
      <c r="CS39" t="s">
        <v>282</v>
      </c>
      <c r="CT39" t="s">
        <v>282</v>
      </c>
      <c r="CU39">
        <v>7.06</v>
      </c>
      <c r="CV39">
        <v>115</v>
      </c>
      <c r="CW39">
        <v>20</v>
      </c>
      <c r="CX39">
        <v>6</v>
      </c>
      <c r="CY39">
        <v>0.8</v>
      </c>
      <c r="CZ39">
        <v>70</v>
      </c>
      <c r="DA39">
        <v>181</v>
      </c>
      <c r="DB39">
        <v>47</v>
      </c>
      <c r="DC39">
        <v>48</v>
      </c>
      <c r="DD39">
        <v>2862</v>
      </c>
      <c r="DE39">
        <v>252</v>
      </c>
      <c r="DF39">
        <v>1</v>
      </c>
      <c r="DG39">
        <v>2</v>
      </c>
      <c r="DH39">
        <v>100</v>
      </c>
      <c r="DI39">
        <v>1500</v>
      </c>
      <c r="DJ39">
        <v>1</v>
      </c>
      <c r="DK39">
        <v>4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82</v>
      </c>
      <c r="DU39">
        <v>55</v>
      </c>
      <c r="DV39">
        <v>64</v>
      </c>
      <c r="DW39">
        <v>75</v>
      </c>
      <c r="DX39">
        <v>33.799999999999997</v>
      </c>
      <c r="DY39">
        <v>0</v>
      </c>
      <c r="DZ39">
        <v>1</v>
      </c>
      <c r="EA39">
        <v>0</v>
      </c>
      <c r="EB39">
        <v>6</v>
      </c>
      <c r="EC39">
        <v>25</v>
      </c>
      <c r="ED39">
        <v>60</v>
      </c>
      <c r="EE39">
        <v>5</v>
      </c>
      <c r="EF39">
        <v>50</v>
      </c>
      <c r="EG39">
        <v>13</v>
      </c>
      <c r="EH39">
        <v>100</v>
      </c>
      <c r="EI39">
        <v>0</v>
      </c>
      <c r="EJ39">
        <v>0</v>
      </c>
      <c r="EK39">
        <v>1.2</v>
      </c>
      <c r="EL39">
        <v>4.8</v>
      </c>
      <c r="EM39" t="s">
        <v>144</v>
      </c>
      <c r="EN39" t="s">
        <v>144</v>
      </c>
      <c r="EO39" t="s">
        <v>144</v>
      </c>
      <c r="EP39" t="s">
        <v>144</v>
      </c>
      <c r="EQ39">
        <v>1.1000000000000001</v>
      </c>
      <c r="ER39">
        <v>577.9</v>
      </c>
      <c r="ES39">
        <v>39.1</v>
      </c>
      <c r="ET39">
        <v>468.9</v>
      </c>
      <c r="EU39">
        <v>669.9</v>
      </c>
      <c r="EV39">
        <v>80</v>
      </c>
      <c r="EW39">
        <v>53</v>
      </c>
      <c r="EX39">
        <v>62</v>
      </c>
      <c r="EY39">
        <v>76</v>
      </c>
      <c r="EZ39">
        <v>6.3</v>
      </c>
      <c r="FA39" t="s">
        <v>144</v>
      </c>
      <c r="FB39" t="s">
        <v>144</v>
      </c>
      <c r="FC39">
        <v>0.8</v>
      </c>
      <c r="FD39">
        <v>670.3</v>
      </c>
      <c r="FH39">
        <v>83</v>
      </c>
      <c r="FI39">
        <v>49</v>
      </c>
      <c r="FJ39">
        <v>60</v>
      </c>
      <c r="FK39">
        <v>76</v>
      </c>
      <c r="FL39">
        <v>5.3</v>
      </c>
      <c r="FM39" t="s">
        <v>144</v>
      </c>
      <c r="FN39" t="s">
        <v>144</v>
      </c>
      <c r="FO39">
        <v>1.1000000000000001</v>
      </c>
      <c r="FP39">
        <v>589.5</v>
      </c>
      <c r="FT39">
        <v>81</v>
      </c>
      <c r="FU39">
        <v>53</v>
      </c>
      <c r="FV39">
        <v>62</v>
      </c>
      <c r="FW39">
        <v>75</v>
      </c>
      <c r="FX39">
        <v>6.3</v>
      </c>
      <c r="FY39">
        <v>50</v>
      </c>
      <c r="FZ39">
        <v>1.2</v>
      </c>
      <c r="GB39">
        <v>15</v>
      </c>
      <c r="GC39">
        <v>50</v>
      </c>
      <c r="GD39" t="s">
        <v>144</v>
      </c>
      <c r="GE39" t="s">
        <v>144</v>
      </c>
      <c r="GF39">
        <v>0.4</v>
      </c>
      <c r="GG39">
        <v>930.87</v>
      </c>
      <c r="GK39">
        <v>93</v>
      </c>
      <c r="GL39">
        <v>71</v>
      </c>
      <c r="GM39">
        <v>80</v>
      </c>
      <c r="GN39">
        <v>76</v>
      </c>
      <c r="GO39">
        <v>6</v>
      </c>
      <c r="GP39" t="s">
        <v>144</v>
      </c>
      <c r="GQ39" t="s">
        <v>144</v>
      </c>
      <c r="GR39">
        <v>0.6</v>
      </c>
      <c r="GS39">
        <v>995.82</v>
      </c>
      <c r="GW39">
        <v>92</v>
      </c>
      <c r="GX39">
        <v>62</v>
      </c>
      <c r="GY39">
        <v>73</v>
      </c>
      <c r="GZ39">
        <v>78</v>
      </c>
      <c r="HA39">
        <v>5.8</v>
      </c>
      <c r="HB39" t="s">
        <v>144</v>
      </c>
      <c r="HC39" t="s">
        <v>144</v>
      </c>
      <c r="HD39">
        <v>0.6</v>
      </c>
      <c r="HE39">
        <v>998.59</v>
      </c>
      <c r="HL39">
        <f t="shared" si="2"/>
        <v>92.399999999999977</v>
      </c>
      <c r="HM39" s="16">
        <f t="shared" si="3"/>
        <v>0.15988925419622768</v>
      </c>
      <c r="HN39">
        <f t="shared" si="9"/>
        <v>341.37</v>
      </c>
      <c r="HO39" s="16">
        <f t="shared" si="10"/>
        <v>0.57908396946564888</v>
      </c>
      <c r="HP39" s="26">
        <f t="shared" si="6"/>
        <v>248.97000000000003</v>
      </c>
      <c r="HQ39">
        <f>HE39-FP39</f>
        <v>409.09000000000003</v>
      </c>
      <c r="HR39" s="16">
        <f>HQ39/FP39</f>
        <v>0.69396098388464811</v>
      </c>
      <c r="HS39">
        <f>HE39-GG39</f>
        <v>67.720000000000027</v>
      </c>
      <c r="HT39">
        <f t="shared" si="12"/>
        <v>1.2999999999999998</v>
      </c>
      <c r="HU39" s="28">
        <f t="shared" si="13"/>
        <v>25.999999999999996</v>
      </c>
      <c r="HV39">
        <f t="shared" si="14"/>
        <v>1</v>
      </c>
      <c r="HW39" s="29">
        <f t="shared" si="15"/>
        <v>18.867924528301888</v>
      </c>
    </row>
    <row r="41" spans="1:255" x14ac:dyDescent="0.35">
      <c r="A41" t="s">
        <v>396</v>
      </c>
      <c r="D41">
        <f>MEDIAN(D3:D39)</f>
        <v>65</v>
      </c>
      <c r="H41">
        <f>MEDIAN(H3:H39)</f>
        <v>22.410269281795692</v>
      </c>
      <c r="AT41">
        <f>MEDIAN(AT3:AT39)</f>
        <v>8</v>
      </c>
      <c r="BR41">
        <f>MEDIAN(BR3:BR39)</f>
        <v>2.1</v>
      </c>
      <c r="BZ41">
        <f>MEDIAN(BZ3:BZ39)</f>
        <v>13</v>
      </c>
      <c r="DI41">
        <f>MEDIAN(DI3:DI39)</f>
        <v>1250</v>
      </c>
      <c r="DL41">
        <f>MEDIAN(DL3:DL39)</f>
        <v>0.35</v>
      </c>
      <c r="DV41">
        <f>MEDIAN(DV3:DV39)</f>
        <v>75</v>
      </c>
      <c r="DW41">
        <f>MEDIAN(DW3:DW39)</f>
        <v>107</v>
      </c>
      <c r="EE41">
        <f>MEDIAN(EE3:EE39)</f>
        <v>5</v>
      </c>
      <c r="EQ41">
        <f>MEDIAN(EQ3:EQ39)</f>
        <v>2.7</v>
      </c>
      <c r="ER41">
        <f>MEDIAN(ER3:ER39)</f>
        <v>43.75</v>
      </c>
    </row>
    <row r="42" spans="1:255" x14ac:dyDescent="0.35">
      <c r="A42" t="s">
        <v>397</v>
      </c>
      <c r="D42">
        <f>_xlfn.QUARTILE.INC(D3:D39,1)</f>
        <v>49</v>
      </c>
      <c r="H42">
        <f>_xlfn.QUARTILE.INC(H3:H39,1)</f>
        <v>19.257028815517668</v>
      </c>
      <c r="AT42">
        <f>_xlfn.QUARTILE.INC(AT3:AT39,1)</f>
        <v>4</v>
      </c>
      <c r="BR42">
        <f>_xlfn.QUARTILE.INC(BR3:BR39,1)</f>
        <v>1.4249999999999998</v>
      </c>
      <c r="BZ42">
        <f>_xlfn.QUARTILE.INC(BZ3:BZ39,1)</f>
        <v>4</v>
      </c>
      <c r="DI42">
        <f>_xlfn.QUARTILE.INC(DI3:DI39,1)</f>
        <v>625</v>
      </c>
      <c r="DL42">
        <f>_xlfn.QUARTILE.INC(DL3:DL39,1)</f>
        <v>0.1225</v>
      </c>
      <c r="DV42">
        <f>_xlfn.QUARTILE.INC(DV3:DV39,1)</f>
        <v>70</v>
      </c>
      <c r="DW42">
        <f>_xlfn.QUARTILE.INC(DW3:DW39,1)</f>
        <v>87</v>
      </c>
      <c r="EE42">
        <f>_xlfn.QUARTILE.INC(EE3:EE39,1)</f>
        <v>3.7</v>
      </c>
      <c r="EQ42">
        <f>_xlfn.QUARTILE.INC(EQ3:EQ39,1)</f>
        <v>1.65</v>
      </c>
      <c r="ER42">
        <f>_xlfn.QUARTILE.INC(ER3:ER39,1)</f>
        <v>14.84</v>
      </c>
    </row>
    <row r="43" spans="1:255" x14ac:dyDescent="0.35">
      <c r="A43" t="s">
        <v>398</v>
      </c>
      <c r="D43">
        <f>_xlfn.QUARTILE.INC(D3:D39,3)</f>
        <v>76</v>
      </c>
      <c r="H43">
        <f>_xlfn.QUARTILE.INC(H3:H39,3)</f>
        <v>27.885187388459254</v>
      </c>
      <c r="AT43">
        <f>_xlfn.QUARTILE.INC(AT3:AT39,3)</f>
        <v>10</v>
      </c>
      <c r="BR43">
        <f>_xlfn.QUARTILE.INC(BR3:BR39,3)</f>
        <v>4.9499999999999993</v>
      </c>
      <c r="BZ43">
        <f>_xlfn.QUARTILE.INC(BZ3:BZ39,3)</f>
        <v>21</v>
      </c>
      <c r="DI43">
        <f>_xlfn.QUARTILE.INC(DI3:DI39,3)</f>
        <v>2000</v>
      </c>
      <c r="DL43">
        <f>_xlfn.QUARTILE.INC(DL3:DL39,3)</f>
        <v>0.46250000000000002</v>
      </c>
      <c r="DV43">
        <f>_xlfn.QUARTILE.INC(DV3:DV39,3)</f>
        <v>85</v>
      </c>
      <c r="DW43">
        <f>_xlfn.QUARTILE.INC(DW3:DW39,3)</f>
        <v>121</v>
      </c>
      <c r="EE43">
        <f>_xlfn.QUARTILE.INC(EE3:EE39,3)</f>
        <v>6.3</v>
      </c>
      <c r="EQ43">
        <f>_xlfn.QUARTILE.INC(EQ3:EQ39,3)</f>
        <v>4.0999999999999996</v>
      </c>
      <c r="ER43">
        <f>_xlfn.QUARTILE.INC(ER3:ER39,3)</f>
        <v>150.55000000000001</v>
      </c>
    </row>
    <row r="44" spans="1:255" x14ac:dyDescent="0.35">
      <c r="A44" t="s">
        <v>399</v>
      </c>
      <c r="B44">
        <f>COUNTIF(B3:B39,"*")</f>
        <v>37</v>
      </c>
      <c r="I44">
        <f>COUNTIF(I3:I39,1)</f>
        <v>14</v>
      </c>
      <c r="DJ44">
        <f>COUNTIF(DJ3:DJ39,1)</f>
        <v>26</v>
      </c>
      <c r="DM44">
        <f>COUNTIF(DM3:DM39,1)</f>
        <v>12</v>
      </c>
      <c r="DY44">
        <f>COUNTIF(DY3:DY39,1)</f>
        <v>20</v>
      </c>
      <c r="DZ44">
        <f t="shared" ref="DZ44:EA44" si="16">COUNTIF(DZ3:DZ39,1)</f>
        <v>7</v>
      </c>
      <c r="EA44">
        <f t="shared" si="16"/>
        <v>10</v>
      </c>
    </row>
    <row r="45" spans="1:255" x14ac:dyDescent="0.35">
      <c r="A45" t="s">
        <v>335</v>
      </c>
      <c r="I45" s="16">
        <f>I44/I46</f>
        <v>0.3783783783783784</v>
      </c>
      <c r="DJ45" s="16">
        <f>DJ44/DJ46</f>
        <v>0.70270270270270274</v>
      </c>
      <c r="DM45" s="16">
        <f>DM44/DM46</f>
        <v>0.32432432432432434</v>
      </c>
      <c r="DY45" s="16">
        <f>DY44/DY46</f>
        <v>0.54054054054054057</v>
      </c>
      <c r="HP45" s="26"/>
    </row>
    <row r="46" spans="1:255" x14ac:dyDescent="0.35">
      <c r="A46" t="s">
        <v>400</v>
      </c>
      <c r="B46">
        <f>COUNTIF(B3:B39,"*")</f>
        <v>37</v>
      </c>
      <c r="I46">
        <f>COUNT(I3:I39)</f>
        <v>37</v>
      </c>
      <c r="DJ46">
        <f>COUNT(DJ3:DJ39)</f>
        <v>37</v>
      </c>
      <c r="DM46">
        <f>COUNT(DM3:DM39)</f>
        <v>37</v>
      </c>
      <c r="DY46">
        <f>COUNT(DY3:DY39)</f>
        <v>37</v>
      </c>
    </row>
    <row r="58" spans="1:255" x14ac:dyDescent="0.35">
      <c r="A58" s="17" t="s">
        <v>302</v>
      </c>
      <c r="B58" s="17" t="s">
        <v>303</v>
      </c>
      <c r="C58" s="18">
        <v>24433</v>
      </c>
      <c r="D58" s="17">
        <v>56</v>
      </c>
      <c r="E58" s="17">
        <v>64</v>
      </c>
      <c r="F58" s="17">
        <v>177</v>
      </c>
      <c r="G58" s="17"/>
      <c r="H58" s="17"/>
      <c r="I58" s="17">
        <v>0</v>
      </c>
      <c r="J58" s="17">
        <v>1</v>
      </c>
      <c r="K58" s="17">
        <v>1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1</v>
      </c>
      <c r="S58" s="17">
        <v>0</v>
      </c>
      <c r="T58" s="17">
        <v>0</v>
      </c>
      <c r="U58" s="17">
        <v>0</v>
      </c>
      <c r="V58" s="17">
        <v>0</v>
      </c>
      <c r="W58" s="17">
        <v>1</v>
      </c>
      <c r="X58" s="17">
        <v>1</v>
      </c>
      <c r="Y58" s="17">
        <v>1</v>
      </c>
      <c r="Z58" s="17">
        <v>0</v>
      </c>
      <c r="AA58" s="17">
        <v>0</v>
      </c>
      <c r="AB58" s="17">
        <v>0</v>
      </c>
      <c r="AC58" s="17">
        <v>1</v>
      </c>
      <c r="AD58" s="17">
        <v>0</v>
      </c>
      <c r="AE58" s="17">
        <v>0</v>
      </c>
      <c r="AF58" s="17" t="s">
        <v>144</v>
      </c>
      <c r="AG58" s="17"/>
      <c r="AH58" s="17"/>
      <c r="AI58" s="17"/>
      <c r="AJ58" s="17"/>
      <c r="AK58" s="18">
        <v>45122</v>
      </c>
      <c r="AL58" s="17" t="s">
        <v>304</v>
      </c>
      <c r="AM58" s="17"/>
      <c r="AN58" s="17">
        <v>1</v>
      </c>
      <c r="AO58" s="17">
        <v>1</v>
      </c>
      <c r="AP58" s="17">
        <v>0</v>
      </c>
      <c r="AQ58" s="17">
        <v>0</v>
      </c>
      <c r="AR58" s="17">
        <v>0</v>
      </c>
      <c r="AS58" s="17"/>
      <c r="AT58" s="17">
        <v>14</v>
      </c>
      <c r="AU58" s="17">
        <v>4</v>
      </c>
      <c r="AV58" s="17">
        <v>3</v>
      </c>
      <c r="AW58" s="17">
        <v>3</v>
      </c>
      <c r="AX58" s="17">
        <v>2</v>
      </c>
      <c r="AY58" s="17">
        <v>2</v>
      </c>
      <c r="AZ58" s="17">
        <v>0</v>
      </c>
      <c r="BA58" s="17"/>
      <c r="BB58" s="17">
        <v>9.9</v>
      </c>
      <c r="BC58" s="17">
        <v>10.3</v>
      </c>
      <c r="BD58" s="17">
        <v>320</v>
      </c>
      <c r="BE58" s="17">
        <v>65</v>
      </c>
      <c r="BF58" s="17">
        <v>17.3</v>
      </c>
      <c r="BG58" s="17">
        <v>332</v>
      </c>
      <c r="BH58" s="17">
        <v>131</v>
      </c>
      <c r="BI58" s="17">
        <v>96</v>
      </c>
      <c r="BJ58" s="17">
        <v>55</v>
      </c>
      <c r="BK58" s="17" t="s">
        <v>144</v>
      </c>
      <c r="BL58" s="17">
        <v>0.32</v>
      </c>
      <c r="BM58" s="17" t="s">
        <v>144</v>
      </c>
      <c r="BN58" s="17">
        <v>7.4</v>
      </c>
      <c r="BO58" s="17">
        <v>62</v>
      </c>
      <c r="BP58" s="17">
        <v>33</v>
      </c>
      <c r="BQ58" s="17">
        <v>20</v>
      </c>
      <c r="BR58" s="17">
        <v>5.2</v>
      </c>
      <c r="BS58" s="17">
        <v>51</v>
      </c>
      <c r="BT58" s="17" t="s">
        <v>144</v>
      </c>
      <c r="BU58" s="17">
        <v>46</v>
      </c>
      <c r="BV58" s="17">
        <v>26</v>
      </c>
      <c r="BW58" s="17">
        <v>367</v>
      </c>
      <c r="BX58" s="17">
        <v>93</v>
      </c>
      <c r="BY58" s="18">
        <v>45127</v>
      </c>
      <c r="BZ58" s="17"/>
      <c r="CA58" s="17">
        <v>52.5</v>
      </c>
      <c r="CB58" s="17">
        <v>14</v>
      </c>
      <c r="CC58" s="17">
        <v>4</v>
      </c>
      <c r="CD58" s="17">
        <v>2</v>
      </c>
      <c r="CE58" s="17">
        <v>3</v>
      </c>
      <c r="CF58" s="17">
        <v>3</v>
      </c>
      <c r="CG58" s="17">
        <v>2</v>
      </c>
      <c r="CH58" s="17">
        <v>0</v>
      </c>
      <c r="CI58" s="17">
        <v>15.2</v>
      </c>
      <c r="CJ58" s="17">
        <v>9.3000000000000007</v>
      </c>
      <c r="CK58" s="17">
        <v>234</v>
      </c>
      <c r="CL58" s="17">
        <v>67</v>
      </c>
      <c r="CM58" s="17">
        <v>44</v>
      </c>
      <c r="CN58" s="17">
        <v>360</v>
      </c>
      <c r="CO58" s="17">
        <v>142</v>
      </c>
      <c r="CP58" s="17">
        <v>108</v>
      </c>
      <c r="CQ58" s="17">
        <v>45</v>
      </c>
      <c r="CR58" s="17" t="s">
        <v>282</v>
      </c>
      <c r="CS58" s="17" t="s">
        <v>282</v>
      </c>
      <c r="CT58" s="17" t="s">
        <v>282</v>
      </c>
      <c r="CU58" s="17">
        <v>7.4</v>
      </c>
      <c r="CV58" s="17">
        <v>70</v>
      </c>
      <c r="CW58" s="17">
        <v>30</v>
      </c>
      <c r="CX58" s="17">
        <v>19</v>
      </c>
      <c r="CY58" s="17">
        <v>1.3</v>
      </c>
      <c r="CZ58" s="17">
        <v>53</v>
      </c>
      <c r="DA58" s="17" t="s">
        <v>144</v>
      </c>
      <c r="DB58" s="17">
        <v>50</v>
      </c>
      <c r="DC58" s="17">
        <v>29</v>
      </c>
      <c r="DD58" s="17">
        <v>513</v>
      </c>
      <c r="DE58" s="17">
        <v>70</v>
      </c>
      <c r="DF58" s="17">
        <v>1</v>
      </c>
      <c r="DG58" s="17">
        <v>1</v>
      </c>
      <c r="DH58" s="17">
        <v>500</v>
      </c>
      <c r="DI58" s="17">
        <v>500</v>
      </c>
      <c r="DJ58" s="17"/>
      <c r="DK58" s="17">
        <v>2</v>
      </c>
      <c r="DL58" s="17">
        <v>0.18</v>
      </c>
      <c r="DM58" s="17"/>
      <c r="DN58" s="17">
        <v>0</v>
      </c>
      <c r="DO58" s="17">
        <v>0</v>
      </c>
      <c r="DP58" s="17">
        <v>80</v>
      </c>
      <c r="DQ58" s="17">
        <v>0</v>
      </c>
      <c r="DR58" s="17">
        <v>0</v>
      </c>
      <c r="DS58" s="17">
        <v>0</v>
      </c>
      <c r="DT58" s="17">
        <v>115</v>
      </c>
      <c r="DU58" s="17">
        <v>51</v>
      </c>
      <c r="DV58" s="17">
        <v>74</v>
      </c>
      <c r="DW58" s="17">
        <v>106</v>
      </c>
      <c r="DX58" s="17">
        <v>36.6</v>
      </c>
      <c r="DY58" s="17">
        <v>0</v>
      </c>
      <c r="DZ58" s="17">
        <v>1</v>
      </c>
      <c r="EA58" s="17">
        <v>0</v>
      </c>
      <c r="EB58" s="17">
        <v>5</v>
      </c>
      <c r="EC58" s="17">
        <v>30</v>
      </c>
      <c r="ED58" s="17">
        <v>60</v>
      </c>
      <c r="EE58" s="17">
        <v>5.0999999999999996</v>
      </c>
      <c r="EF58" s="17">
        <v>40</v>
      </c>
      <c r="EG58" s="17">
        <v>15</v>
      </c>
      <c r="EH58" s="17">
        <v>0</v>
      </c>
      <c r="EI58" s="17">
        <v>0</v>
      </c>
      <c r="EJ58" s="17">
        <v>0</v>
      </c>
      <c r="EK58" s="17">
        <v>0.7</v>
      </c>
      <c r="EL58" s="17">
        <v>4.7</v>
      </c>
      <c r="EM58" s="17" t="s">
        <v>144</v>
      </c>
      <c r="EN58" s="17" t="s">
        <v>144</v>
      </c>
      <c r="EO58" s="17" t="s">
        <v>144</v>
      </c>
      <c r="EP58" s="17">
        <v>0</v>
      </c>
      <c r="EQ58" s="17">
        <v>1.7</v>
      </c>
      <c r="ER58" s="17">
        <v>82.7</v>
      </c>
      <c r="ES58" s="17">
        <v>20</v>
      </c>
      <c r="ET58" s="17">
        <v>44.2</v>
      </c>
      <c r="EU58" s="17">
        <v>158.19999999999999</v>
      </c>
      <c r="EV58" s="17">
        <v>105</v>
      </c>
      <c r="EW58" s="17">
        <v>43</v>
      </c>
      <c r="EX58" s="17">
        <v>65</v>
      </c>
      <c r="EY58" s="17">
        <v>106</v>
      </c>
      <c r="EZ58" s="17">
        <v>6.3</v>
      </c>
      <c r="FA58" s="17" t="s">
        <v>144</v>
      </c>
      <c r="FB58" s="17">
        <v>0</v>
      </c>
      <c r="FC58" s="17">
        <v>1.4</v>
      </c>
      <c r="FD58" s="17">
        <v>98</v>
      </c>
      <c r="FE58" s="17">
        <v>17.3</v>
      </c>
      <c r="FF58" s="17">
        <v>61.1</v>
      </c>
      <c r="FG58" s="17">
        <v>151.69999999999999</v>
      </c>
      <c r="FH58" s="17">
        <v>110</v>
      </c>
      <c r="FI58" s="17">
        <v>50</v>
      </c>
      <c r="FJ58" s="17">
        <v>73</v>
      </c>
      <c r="FK58" s="17">
        <v>106</v>
      </c>
      <c r="FL58" s="17">
        <v>5.5</v>
      </c>
      <c r="FM58" s="17" t="s">
        <v>144</v>
      </c>
      <c r="FN58" s="17">
        <v>0</v>
      </c>
      <c r="FO58" s="17">
        <v>2.0499999999999998</v>
      </c>
      <c r="FP58" s="17">
        <v>88.8</v>
      </c>
      <c r="FQ58" s="17">
        <v>11.11</v>
      </c>
      <c r="FR58" s="17">
        <v>57</v>
      </c>
      <c r="FS58" s="17">
        <v>124</v>
      </c>
      <c r="FT58" s="17">
        <v>119</v>
      </c>
      <c r="FU58" s="17">
        <v>56</v>
      </c>
      <c r="FV58" s="17">
        <v>80</v>
      </c>
      <c r="FW58" s="17">
        <v>105</v>
      </c>
      <c r="FX58" s="17">
        <v>8.1999999999999993</v>
      </c>
      <c r="FY58" s="17">
        <v>50</v>
      </c>
      <c r="FZ58" s="17">
        <v>0.8</v>
      </c>
      <c r="GA58" s="17">
        <v>5.4</v>
      </c>
      <c r="GB58" s="17">
        <v>15</v>
      </c>
      <c r="GC58" s="17">
        <v>0</v>
      </c>
      <c r="GD58" s="17" t="s">
        <v>144</v>
      </c>
      <c r="GE58" s="17">
        <v>0</v>
      </c>
      <c r="GF58" s="17">
        <v>1.2</v>
      </c>
      <c r="GG58" s="17">
        <v>92.1</v>
      </c>
      <c r="GH58" s="17"/>
      <c r="GI58" s="17"/>
      <c r="GJ58" s="17"/>
      <c r="GK58" s="17">
        <v>116</v>
      </c>
      <c r="GL58" s="17">
        <v>55</v>
      </c>
      <c r="GM58" s="17">
        <v>78</v>
      </c>
      <c r="GN58" s="17">
        <v>109</v>
      </c>
      <c r="GO58" s="17">
        <v>8</v>
      </c>
      <c r="GP58" s="17" t="s">
        <v>144</v>
      </c>
      <c r="GQ58" s="17">
        <v>0</v>
      </c>
      <c r="GR58" s="17">
        <v>1.1000000000000001</v>
      </c>
      <c r="GS58" s="17">
        <v>146.37</v>
      </c>
      <c r="GT58" s="17">
        <v>20.8</v>
      </c>
      <c r="GU58" s="17">
        <v>77.2</v>
      </c>
      <c r="GV58" s="17">
        <v>202.8</v>
      </c>
      <c r="GW58" s="17">
        <v>116</v>
      </c>
      <c r="GX58" s="17">
        <v>54</v>
      </c>
      <c r="GY58" s="17">
        <v>78</v>
      </c>
      <c r="GZ58" s="17">
        <v>108</v>
      </c>
      <c r="HA58" s="17">
        <v>7.8</v>
      </c>
      <c r="HB58" s="17" t="s">
        <v>144</v>
      </c>
      <c r="HC58" s="17">
        <v>0</v>
      </c>
      <c r="HD58" s="17">
        <v>0.9</v>
      </c>
      <c r="HE58" s="17">
        <v>154.25</v>
      </c>
      <c r="HF58" s="17">
        <v>26.9</v>
      </c>
      <c r="HG58" s="17">
        <v>79.400000000000006</v>
      </c>
      <c r="HH58" s="17">
        <v>240.6</v>
      </c>
      <c r="HI58" s="17"/>
      <c r="HJ58" s="17"/>
      <c r="HK58" s="17"/>
      <c r="HL58" s="17">
        <f>FD58-ER58</f>
        <v>15.299999999999997</v>
      </c>
      <c r="HM58" s="19">
        <f>HL58/ER58</f>
        <v>0.18500604594921399</v>
      </c>
      <c r="HN58" s="17">
        <f>GG58-FP58</f>
        <v>3.2999999999999972</v>
      </c>
      <c r="HO58" s="19">
        <f>HN58/FP58</f>
        <v>3.716216216216213E-2</v>
      </c>
      <c r="HP58" s="26">
        <f>HN58-HL58</f>
        <v>-12</v>
      </c>
      <c r="HQ58">
        <f>HE58-FP58</f>
        <v>65.45</v>
      </c>
      <c r="HR58" s="19">
        <f>HQ58/FP58</f>
        <v>0.7370495495495496</v>
      </c>
      <c r="HS58" s="17">
        <f>HE58-GG58</f>
        <v>62.150000000000006</v>
      </c>
      <c r="HT58">
        <f>EZ58-EE58</f>
        <v>1.2000000000000002</v>
      </c>
    </row>
    <row r="59" spans="1:255" x14ac:dyDescent="0.35">
      <c r="A59" s="17" t="s">
        <v>344</v>
      </c>
      <c r="B59" s="17" t="s">
        <v>345</v>
      </c>
      <c r="C59" s="18">
        <v>21913</v>
      </c>
      <c r="D59" s="17">
        <v>63</v>
      </c>
      <c r="E59" s="17">
        <v>73</v>
      </c>
      <c r="F59" s="17">
        <v>171</v>
      </c>
      <c r="G59" s="17"/>
      <c r="H59" s="17"/>
      <c r="I59" s="17">
        <v>0</v>
      </c>
      <c r="J59" s="17">
        <v>1</v>
      </c>
      <c r="K59" s="17">
        <v>2</v>
      </c>
      <c r="L59" s="17">
        <v>0</v>
      </c>
      <c r="M59" s="17">
        <v>1</v>
      </c>
      <c r="N59" s="17">
        <v>0</v>
      </c>
      <c r="O59" s="17">
        <v>0</v>
      </c>
      <c r="P59" s="17">
        <v>0</v>
      </c>
      <c r="Q59" s="17">
        <v>0</v>
      </c>
      <c r="R59" s="17">
        <v>1</v>
      </c>
      <c r="S59" s="17">
        <v>0</v>
      </c>
      <c r="T59" s="17">
        <v>0</v>
      </c>
      <c r="U59" s="17">
        <v>1</v>
      </c>
      <c r="V59" s="17">
        <v>1</v>
      </c>
      <c r="W59" s="17">
        <v>1</v>
      </c>
      <c r="X59" s="17">
        <v>1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 t="s">
        <v>144</v>
      </c>
      <c r="AG59" s="17"/>
      <c r="AH59" s="17"/>
      <c r="AI59" s="17"/>
      <c r="AJ59" s="17"/>
      <c r="AK59" s="18">
        <v>45169</v>
      </c>
      <c r="AL59" s="17" t="s">
        <v>350</v>
      </c>
      <c r="AM59" s="17"/>
      <c r="AN59" s="17">
        <v>1</v>
      </c>
      <c r="AO59" s="17">
        <v>0</v>
      </c>
      <c r="AP59" s="17">
        <v>0</v>
      </c>
      <c r="AQ59" s="17">
        <v>0</v>
      </c>
      <c r="AR59" s="17">
        <v>0</v>
      </c>
      <c r="AS59" s="17"/>
      <c r="AT59" s="17">
        <v>6</v>
      </c>
      <c r="AU59" s="17">
        <v>1</v>
      </c>
      <c r="AV59" s="17">
        <v>0</v>
      </c>
      <c r="AW59" s="17">
        <v>0</v>
      </c>
      <c r="AX59" s="17">
        <v>2</v>
      </c>
      <c r="AY59" s="17">
        <v>2</v>
      </c>
      <c r="AZ59" s="17">
        <v>1</v>
      </c>
      <c r="BA59" s="17"/>
      <c r="BB59" s="17">
        <v>6.5</v>
      </c>
      <c r="BC59" s="17">
        <v>11.5</v>
      </c>
      <c r="BD59" s="17">
        <v>131</v>
      </c>
      <c r="BE59" s="17">
        <v>75</v>
      </c>
      <c r="BF59" s="17">
        <v>12</v>
      </c>
      <c r="BG59" s="17">
        <v>195</v>
      </c>
      <c r="BH59" s="17">
        <v>130</v>
      </c>
      <c r="BI59" s="17">
        <v>100</v>
      </c>
      <c r="BJ59" s="17">
        <v>38</v>
      </c>
      <c r="BK59" s="17">
        <v>290</v>
      </c>
      <c r="BL59" s="17">
        <v>13</v>
      </c>
      <c r="BM59" s="17">
        <v>26</v>
      </c>
      <c r="BN59" s="17">
        <v>7.43</v>
      </c>
      <c r="BO59" s="17">
        <v>85</v>
      </c>
      <c r="BP59" s="17">
        <v>22</v>
      </c>
      <c r="BQ59" s="17">
        <v>18</v>
      </c>
      <c r="BR59" s="17">
        <v>1.2</v>
      </c>
      <c r="BS59" s="17">
        <v>52</v>
      </c>
      <c r="BT59" s="17">
        <v>59</v>
      </c>
      <c r="BU59" s="17">
        <v>42</v>
      </c>
      <c r="BV59" s="17">
        <v>25</v>
      </c>
      <c r="BW59" s="17"/>
      <c r="BX59" s="17"/>
      <c r="BY59" s="18">
        <v>45169</v>
      </c>
      <c r="BZ59" s="17" t="s">
        <v>318</v>
      </c>
      <c r="CA59" s="17">
        <v>73</v>
      </c>
      <c r="CB59" s="17">
        <v>6</v>
      </c>
      <c r="CC59" s="17">
        <v>1</v>
      </c>
      <c r="CD59" s="17">
        <v>0</v>
      </c>
      <c r="CE59" s="17">
        <v>0</v>
      </c>
      <c r="CF59" s="17">
        <v>2</v>
      </c>
      <c r="CG59" s="17">
        <v>2</v>
      </c>
      <c r="CH59" s="17">
        <v>1</v>
      </c>
      <c r="CI59" s="17">
        <v>6.5</v>
      </c>
      <c r="CJ59" s="17">
        <v>11.5</v>
      </c>
      <c r="CK59" s="17">
        <v>131</v>
      </c>
      <c r="CL59" s="17">
        <v>75</v>
      </c>
      <c r="CM59" s="17">
        <v>12</v>
      </c>
      <c r="CN59" s="17">
        <v>195</v>
      </c>
      <c r="CO59" s="17">
        <v>130</v>
      </c>
      <c r="CP59" s="17">
        <v>100</v>
      </c>
      <c r="CQ59" s="17">
        <v>38</v>
      </c>
      <c r="CR59" s="17">
        <v>290</v>
      </c>
      <c r="CS59" s="17">
        <v>13</v>
      </c>
      <c r="CT59" s="17">
        <v>26</v>
      </c>
      <c r="CU59" s="17">
        <v>7.43</v>
      </c>
      <c r="CV59" s="17">
        <v>85</v>
      </c>
      <c r="CW59" s="17">
        <v>22</v>
      </c>
      <c r="CX59" s="17">
        <v>18</v>
      </c>
      <c r="CY59" s="17">
        <v>1.2</v>
      </c>
      <c r="CZ59" s="17">
        <v>52</v>
      </c>
      <c r="DA59" s="17">
        <v>59</v>
      </c>
      <c r="DB59" s="17">
        <v>42</v>
      </c>
      <c r="DC59" s="17">
        <v>25</v>
      </c>
      <c r="DD59" s="17"/>
      <c r="DE59" s="17"/>
      <c r="DF59" s="17">
        <v>2</v>
      </c>
      <c r="DG59" s="17">
        <v>1</v>
      </c>
      <c r="DH59" s="17">
        <v>500</v>
      </c>
      <c r="DI59" s="17">
        <v>1500</v>
      </c>
      <c r="DJ59" s="17"/>
      <c r="DK59" s="17">
        <v>0</v>
      </c>
      <c r="DL59" s="17">
        <v>0</v>
      </c>
      <c r="DM59" s="17"/>
      <c r="DN59" s="17">
        <v>0</v>
      </c>
      <c r="DO59" s="17">
        <v>0</v>
      </c>
      <c r="DP59" s="17">
        <v>0</v>
      </c>
      <c r="DQ59" s="17">
        <v>0</v>
      </c>
      <c r="DR59" s="17">
        <v>0</v>
      </c>
      <c r="DS59" s="17">
        <v>0</v>
      </c>
      <c r="DT59" s="17">
        <v>93</v>
      </c>
      <c r="DU59" s="17">
        <v>63</v>
      </c>
      <c r="DV59" s="17">
        <v>74</v>
      </c>
      <c r="DW59" s="17">
        <v>97</v>
      </c>
      <c r="DX59" s="17">
        <v>38.5</v>
      </c>
      <c r="DY59" s="17">
        <v>1</v>
      </c>
      <c r="DZ59" s="17">
        <v>0</v>
      </c>
      <c r="EA59" s="17">
        <v>0</v>
      </c>
      <c r="EB59" s="17">
        <v>0</v>
      </c>
      <c r="EC59" s="17">
        <v>0</v>
      </c>
      <c r="ED59" s="17">
        <v>0</v>
      </c>
      <c r="EE59" s="17">
        <v>4.4000000000000004</v>
      </c>
      <c r="EF59" s="17">
        <v>50</v>
      </c>
      <c r="EG59" s="17">
        <v>0</v>
      </c>
      <c r="EH59" s="17">
        <v>100</v>
      </c>
      <c r="EI59" s="17">
        <v>0</v>
      </c>
      <c r="EJ59" s="17">
        <v>0</v>
      </c>
      <c r="EK59" s="17">
        <v>0.6</v>
      </c>
      <c r="EL59" s="17">
        <v>0</v>
      </c>
      <c r="EM59" s="17" t="s">
        <v>144</v>
      </c>
      <c r="EN59" s="17" t="s">
        <v>144</v>
      </c>
      <c r="EO59" s="17" t="s">
        <v>144</v>
      </c>
      <c r="EP59" s="17">
        <v>1</v>
      </c>
      <c r="EQ59" s="17">
        <v>4.5</v>
      </c>
      <c r="ER59" s="17">
        <v>11.24</v>
      </c>
      <c r="ES59" s="17">
        <v>2.2599999999999998</v>
      </c>
      <c r="ET59" s="17">
        <v>7.48</v>
      </c>
      <c r="EU59" s="17">
        <v>20.6</v>
      </c>
      <c r="EV59" s="17">
        <v>97</v>
      </c>
      <c r="EW59" s="17">
        <v>69</v>
      </c>
      <c r="EX59" s="17">
        <v>78</v>
      </c>
      <c r="EY59" s="17">
        <v>94</v>
      </c>
      <c r="EZ59" s="17">
        <v>5</v>
      </c>
      <c r="FA59" s="17" t="s">
        <v>144</v>
      </c>
      <c r="FB59" s="17">
        <v>1</v>
      </c>
      <c r="FC59" s="17">
        <v>3.2</v>
      </c>
      <c r="FD59" s="17">
        <v>58.4</v>
      </c>
      <c r="FE59" s="17"/>
      <c r="FF59" s="17"/>
      <c r="FG59" s="17"/>
      <c r="FH59" s="17">
        <v>93</v>
      </c>
      <c r="FI59" s="17">
        <v>65</v>
      </c>
      <c r="FJ59" s="17">
        <v>73</v>
      </c>
      <c r="FK59" s="17">
        <v>94</v>
      </c>
      <c r="FL59" s="17">
        <v>4.0999999999999996</v>
      </c>
      <c r="FM59" s="17" t="s">
        <v>144</v>
      </c>
      <c r="FN59" s="17">
        <v>1</v>
      </c>
      <c r="FO59" s="17">
        <v>4.0999999999999996</v>
      </c>
      <c r="FP59" s="17">
        <v>15.61</v>
      </c>
      <c r="FQ59" s="17"/>
      <c r="FR59" s="17"/>
      <c r="FS59" s="17"/>
      <c r="FT59" s="17">
        <v>116</v>
      </c>
      <c r="FU59" s="17">
        <v>105</v>
      </c>
      <c r="FV59" s="17">
        <v>111</v>
      </c>
      <c r="FW59" s="17">
        <v>94</v>
      </c>
      <c r="FX59" s="17">
        <v>5.5</v>
      </c>
      <c r="FY59" s="17"/>
      <c r="FZ59" s="17"/>
      <c r="GA59" s="17"/>
      <c r="GB59" s="17"/>
      <c r="GC59" s="17"/>
      <c r="GD59" s="17"/>
      <c r="GE59" s="17">
        <v>0</v>
      </c>
      <c r="GF59" s="17">
        <v>2.7</v>
      </c>
      <c r="GG59" s="17">
        <v>36</v>
      </c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>
        <f>FD59-ER59</f>
        <v>47.16</v>
      </c>
      <c r="HM59" s="19">
        <f>HL59/ER59</f>
        <v>4.1957295373665477</v>
      </c>
      <c r="HN59" s="17">
        <f>GG59-FP59</f>
        <v>20.39</v>
      </c>
      <c r="HO59" s="19">
        <f>HN59/FP59</f>
        <v>1.3062139654067906</v>
      </c>
      <c r="HP59" s="26">
        <f>HN59-HL59</f>
        <v>-26.769999999999996</v>
      </c>
      <c r="HR59" s="19">
        <f>HQ59/FP59</f>
        <v>0</v>
      </c>
      <c r="HS59" s="17">
        <f>HE59-GG59</f>
        <v>-36</v>
      </c>
      <c r="HT59">
        <f>EZ59-EE59</f>
        <v>0.59999999999999964</v>
      </c>
    </row>
    <row r="60" spans="1:255" x14ac:dyDescent="0.35">
      <c r="A60" s="17" t="s">
        <v>292</v>
      </c>
      <c r="B60" s="17" t="s">
        <v>293</v>
      </c>
      <c r="C60" s="18">
        <v>21914</v>
      </c>
      <c r="D60" s="17">
        <v>63</v>
      </c>
      <c r="E60" s="17">
        <v>66</v>
      </c>
      <c r="F60" s="17">
        <v>170</v>
      </c>
      <c r="G60" s="17"/>
      <c r="H60" s="17"/>
      <c r="I60" s="17">
        <v>0</v>
      </c>
      <c r="J60" s="17">
        <v>1</v>
      </c>
      <c r="K60" s="17">
        <v>1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 t="s">
        <v>144</v>
      </c>
      <c r="AG60" s="17"/>
      <c r="AH60" s="17"/>
      <c r="AI60" s="17"/>
      <c r="AJ60" s="17"/>
      <c r="AK60" s="18">
        <v>45063</v>
      </c>
      <c r="AL60" s="17" t="s">
        <v>38</v>
      </c>
      <c r="AM60" s="17"/>
      <c r="AN60" s="17">
        <v>1</v>
      </c>
      <c r="AO60" s="17">
        <v>1</v>
      </c>
      <c r="AP60" s="17">
        <v>0</v>
      </c>
      <c r="AQ60" s="17">
        <v>0</v>
      </c>
      <c r="AR60" s="17">
        <v>0</v>
      </c>
      <c r="AS60" s="17">
        <v>71</v>
      </c>
      <c r="AT60" s="17">
        <v>10</v>
      </c>
      <c r="AU60" s="17">
        <v>4</v>
      </c>
      <c r="AV60" s="17">
        <v>3</v>
      </c>
      <c r="AW60" s="17">
        <v>1</v>
      </c>
      <c r="AX60" s="17">
        <v>2</v>
      </c>
      <c r="AY60" s="17">
        <v>0</v>
      </c>
      <c r="AZ60" s="17">
        <v>0</v>
      </c>
      <c r="BA60" s="17"/>
      <c r="BB60" s="17">
        <v>11.69</v>
      </c>
      <c r="BC60" s="17">
        <v>18.100000000000001</v>
      </c>
      <c r="BD60" s="17">
        <v>235</v>
      </c>
      <c r="BE60" s="17">
        <v>74</v>
      </c>
      <c r="BF60" s="17">
        <v>27.9</v>
      </c>
      <c r="BG60" s="17">
        <v>378</v>
      </c>
      <c r="BH60" s="17">
        <v>142</v>
      </c>
      <c r="BI60" s="17">
        <v>106</v>
      </c>
      <c r="BJ60" s="17">
        <v>11</v>
      </c>
      <c r="BK60" s="17">
        <v>736</v>
      </c>
      <c r="BL60" s="17" t="s">
        <v>144</v>
      </c>
      <c r="BM60" s="17" t="s">
        <v>144</v>
      </c>
      <c r="BN60" s="17">
        <v>7.36</v>
      </c>
      <c r="BO60" s="17">
        <v>99</v>
      </c>
      <c r="BP60" s="17">
        <v>28</v>
      </c>
      <c r="BQ60" s="17">
        <v>16</v>
      </c>
      <c r="BR60" s="17">
        <v>2.7</v>
      </c>
      <c r="BS60" s="17">
        <v>55</v>
      </c>
      <c r="BT60" s="17">
        <v>119</v>
      </c>
      <c r="BU60" s="17">
        <v>959</v>
      </c>
      <c r="BV60" s="17">
        <v>297</v>
      </c>
      <c r="BW60" s="17"/>
      <c r="BX60" s="17"/>
      <c r="BY60" s="18">
        <v>45065</v>
      </c>
      <c r="BZ60" s="17" t="s">
        <v>294</v>
      </c>
      <c r="CA60" s="17">
        <v>64</v>
      </c>
      <c r="CB60" s="17">
        <v>17</v>
      </c>
      <c r="CC60" s="17">
        <v>4</v>
      </c>
      <c r="CD60" s="17">
        <v>3</v>
      </c>
      <c r="CE60" s="17">
        <v>4</v>
      </c>
      <c r="CF60" s="17">
        <v>4</v>
      </c>
      <c r="CG60" s="17">
        <v>1</v>
      </c>
      <c r="CH60" s="17">
        <v>1</v>
      </c>
      <c r="CI60" s="17">
        <v>10.4</v>
      </c>
      <c r="CJ60" s="17">
        <v>13.3</v>
      </c>
      <c r="CK60" s="17">
        <v>131</v>
      </c>
      <c r="CL60" s="17">
        <v>64</v>
      </c>
      <c r="CM60" s="17">
        <v>26.6</v>
      </c>
      <c r="CN60" s="17">
        <v>461</v>
      </c>
      <c r="CO60" s="17">
        <v>142</v>
      </c>
      <c r="CP60" s="17">
        <v>105</v>
      </c>
      <c r="CQ60" s="17">
        <v>31</v>
      </c>
      <c r="CR60" s="17" t="s">
        <v>144</v>
      </c>
      <c r="CS60" s="17" t="s">
        <v>144</v>
      </c>
      <c r="CT60" s="17" t="s">
        <v>144</v>
      </c>
      <c r="CU60" s="17">
        <v>7.28</v>
      </c>
      <c r="CV60" s="17">
        <v>70</v>
      </c>
      <c r="CW60" s="17">
        <v>44</v>
      </c>
      <c r="CX60" s="17">
        <v>20.2</v>
      </c>
      <c r="CY60" s="17">
        <v>1.8</v>
      </c>
      <c r="CZ60" s="17">
        <v>54</v>
      </c>
      <c r="DA60" s="17">
        <v>97</v>
      </c>
      <c r="DB60" s="17">
        <v>428</v>
      </c>
      <c r="DC60" s="17">
        <v>208</v>
      </c>
      <c r="DD60" s="17">
        <v>1229</v>
      </c>
      <c r="DE60" s="17">
        <v>12107</v>
      </c>
      <c r="DF60" s="17">
        <v>1</v>
      </c>
      <c r="DG60" s="17">
        <v>1</v>
      </c>
      <c r="DH60" s="17">
        <v>500</v>
      </c>
      <c r="DI60" s="17">
        <v>0</v>
      </c>
      <c r="DJ60" s="17"/>
      <c r="DK60" s="17">
        <v>0</v>
      </c>
      <c r="DL60" s="17">
        <v>0.1</v>
      </c>
      <c r="DM60" s="17"/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102</v>
      </c>
      <c r="DU60" s="17">
        <v>64</v>
      </c>
      <c r="DV60" s="17">
        <v>79</v>
      </c>
      <c r="DW60" s="17">
        <v>98</v>
      </c>
      <c r="DX60" s="17">
        <v>37.700000000000003</v>
      </c>
      <c r="DY60" s="17">
        <v>0</v>
      </c>
      <c r="DZ60" s="17">
        <v>0</v>
      </c>
      <c r="EA60" s="17">
        <v>1</v>
      </c>
      <c r="EB60" s="17">
        <v>8</v>
      </c>
      <c r="EC60" s="17">
        <v>45</v>
      </c>
      <c r="ED60" s="17">
        <v>60</v>
      </c>
      <c r="EE60" s="17">
        <v>4.8</v>
      </c>
      <c r="EF60" s="17">
        <v>40</v>
      </c>
      <c r="EG60" s="17">
        <v>20</v>
      </c>
      <c r="EH60" s="17">
        <v>0</v>
      </c>
      <c r="EI60" s="17">
        <v>0</v>
      </c>
      <c r="EJ60" s="17">
        <v>0</v>
      </c>
      <c r="EK60" s="17">
        <v>0.6</v>
      </c>
      <c r="EL60" s="17">
        <v>5</v>
      </c>
      <c r="EM60" s="17">
        <v>5</v>
      </c>
      <c r="EN60" s="17" t="s">
        <v>144</v>
      </c>
      <c r="EO60" s="17" t="s">
        <v>144</v>
      </c>
      <c r="EP60" s="17">
        <v>0</v>
      </c>
      <c r="EQ60" s="17">
        <v>1.4</v>
      </c>
      <c r="ER60" s="17">
        <v>152.16999999999999</v>
      </c>
      <c r="ES60" s="17">
        <v>9.5299999999999994</v>
      </c>
      <c r="ET60" s="17">
        <v>123</v>
      </c>
      <c r="EU60" s="17">
        <v>177</v>
      </c>
      <c r="EV60" s="17">
        <v>98</v>
      </c>
      <c r="EW60" s="17">
        <v>61</v>
      </c>
      <c r="EX60" s="17">
        <v>76</v>
      </c>
      <c r="EY60" s="17">
        <v>89</v>
      </c>
      <c r="EZ60" s="17">
        <v>5.8</v>
      </c>
      <c r="FA60" s="17">
        <v>5</v>
      </c>
      <c r="FB60" s="17">
        <v>0</v>
      </c>
      <c r="FC60" s="17">
        <v>2.15</v>
      </c>
      <c r="FD60" s="17">
        <v>46.17</v>
      </c>
      <c r="FE60" s="17">
        <v>3.8</v>
      </c>
      <c r="FF60" s="17">
        <v>36.25</v>
      </c>
      <c r="FG60" s="17">
        <v>57.1</v>
      </c>
      <c r="FH60" s="17">
        <v>107</v>
      </c>
      <c r="FI60" s="17">
        <v>71</v>
      </c>
      <c r="FJ60" s="17">
        <v>79</v>
      </c>
      <c r="FK60" s="17">
        <v>98</v>
      </c>
      <c r="FL60" s="17">
        <v>4.8</v>
      </c>
      <c r="FM60" s="17">
        <v>6</v>
      </c>
      <c r="FN60" s="17">
        <v>0</v>
      </c>
      <c r="FO60" s="17">
        <v>0.95</v>
      </c>
      <c r="FP60" s="17">
        <v>145.4</v>
      </c>
      <c r="FQ60" s="17">
        <v>15.32</v>
      </c>
      <c r="FR60" s="17">
        <v>90.79</v>
      </c>
      <c r="FS60" s="17">
        <v>180</v>
      </c>
      <c r="FT60" s="17">
        <v>107</v>
      </c>
      <c r="FU60" s="17">
        <v>71</v>
      </c>
      <c r="FV60" s="17">
        <v>86</v>
      </c>
      <c r="FW60" s="17">
        <v>94</v>
      </c>
      <c r="FX60" s="17">
        <v>5.5</v>
      </c>
      <c r="FY60" s="17">
        <v>40</v>
      </c>
      <c r="FZ60" s="17">
        <v>0.8</v>
      </c>
      <c r="GA60" s="17">
        <v>5</v>
      </c>
      <c r="GB60" s="17">
        <v>18</v>
      </c>
      <c r="GC60" s="17">
        <v>0</v>
      </c>
      <c r="GD60" s="17">
        <v>6</v>
      </c>
      <c r="GE60" s="17">
        <v>0</v>
      </c>
      <c r="GF60" s="17">
        <v>0.95</v>
      </c>
      <c r="GG60" s="17">
        <v>171.3</v>
      </c>
      <c r="GH60" s="17">
        <v>10.9</v>
      </c>
      <c r="GI60" s="17">
        <v>141.69999999999999</v>
      </c>
      <c r="GJ60" s="17">
        <v>199.5</v>
      </c>
      <c r="GK60" s="17">
        <v>108</v>
      </c>
      <c r="GL60" s="17">
        <v>72</v>
      </c>
      <c r="GM60" s="17">
        <v>87</v>
      </c>
      <c r="GN60" s="17">
        <v>93</v>
      </c>
      <c r="GO60" s="17">
        <v>5.0999999999999996</v>
      </c>
      <c r="GP60" s="17">
        <v>6</v>
      </c>
      <c r="GQ60" s="17">
        <v>0</v>
      </c>
      <c r="GR60" s="17">
        <v>1.25</v>
      </c>
      <c r="GS60" s="17">
        <v>167.5</v>
      </c>
      <c r="GT60" s="17">
        <v>10.5</v>
      </c>
      <c r="GU60" s="17">
        <v>141</v>
      </c>
      <c r="GV60" s="17">
        <v>162</v>
      </c>
      <c r="GW60" s="17">
        <v>107</v>
      </c>
      <c r="GX60" s="17">
        <v>71</v>
      </c>
      <c r="GY60" s="17">
        <v>86</v>
      </c>
      <c r="GZ60" s="17">
        <v>92</v>
      </c>
      <c r="HA60" s="17">
        <v>5.4</v>
      </c>
      <c r="HB60" s="17">
        <v>6</v>
      </c>
      <c r="HC60" s="17">
        <v>0</v>
      </c>
      <c r="HD60" s="17">
        <v>1.4</v>
      </c>
      <c r="HE60" s="17">
        <v>142.58000000000001</v>
      </c>
      <c r="HF60" s="17">
        <v>9.11</v>
      </c>
      <c r="HG60" s="17">
        <v>118</v>
      </c>
      <c r="HH60" s="17">
        <v>171</v>
      </c>
      <c r="HI60" s="17">
        <v>1</v>
      </c>
      <c r="HJ60" s="17">
        <v>0</v>
      </c>
      <c r="HK60" s="17"/>
      <c r="HL60" s="17">
        <f>FD60-ER60</f>
        <v>-105.99999999999999</v>
      </c>
      <c r="HM60" s="19">
        <f>HL60/ER60</f>
        <v>-0.69658934086876512</v>
      </c>
      <c r="HN60" s="17">
        <f>GG60-FP60</f>
        <v>25.900000000000006</v>
      </c>
      <c r="HO60" s="19">
        <f>HN60/FP60</f>
        <v>0.17812929848693262</v>
      </c>
      <c r="HP60" s="26">
        <f>HN60-HL60</f>
        <v>131.89999999999998</v>
      </c>
      <c r="HQ60">
        <f>HE60-FP60</f>
        <v>-2.8199999999999932</v>
      </c>
      <c r="HR60" s="19">
        <f>HQ60/FP60</f>
        <v>-1.9394773039889911E-2</v>
      </c>
      <c r="HS60" s="17">
        <f>HE60-GG60</f>
        <v>-28.72</v>
      </c>
      <c r="HT60">
        <f>EZ60-EE60</f>
        <v>1</v>
      </c>
    </row>
    <row r="61" spans="1:255" x14ac:dyDescent="0.35">
      <c r="A61" s="17" t="s">
        <v>283</v>
      </c>
      <c r="B61" s="17" t="s">
        <v>284</v>
      </c>
      <c r="C61" s="18">
        <v>17964</v>
      </c>
      <c r="D61" s="17">
        <v>74</v>
      </c>
      <c r="E61" s="17">
        <v>84</v>
      </c>
      <c r="F61" s="17">
        <v>171</v>
      </c>
      <c r="G61" s="17"/>
      <c r="H61" s="17"/>
      <c r="I61" s="17">
        <v>0</v>
      </c>
      <c r="J61" s="17">
        <v>1</v>
      </c>
      <c r="K61" s="17">
        <v>1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1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1</v>
      </c>
      <c r="AA61" s="17">
        <v>1</v>
      </c>
      <c r="AB61" s="17">
        <v>0</v>
      </c>
      <c r="AC61" s="17">
        <v>0</v>
      </c>
      <c r="AD61" s="17">
        <v>0</v>
      </c>
      <c r="AE61" s="17">
        <v>0</v>
      </c>
      <c r="AF61" s="17" t="s">
        <v>144</v>
      </c>
      <c r="AG61" s="17">
        <v>0</v>
      </c>
      <c r="AH61" s="17">
        <v>0</v>
      </c>
      <c r="AI61" s="17">
        <v>0</v>
      </c>
      <c r="AJ61" s="17">
        <v>0</v>
      </c>
      <c r="AK61" s="18">
        <v>45042</v>
      </c>
      <c r="AL61" s="17" t="s">
        <v>285</v>
      </c>
      <c r="AM61" s="17"/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47</v>
      </c>
      <c r="AT61" s="17">
        <v>1</v>
      </c>
      <c r="AU61" s="17">
        <v>0</v>
      </c>
      <c r="AV61" s="17">
        <v>1</v>
      </c>
      <c r="AW61" s="17">
        <v>0</v>
      </c>
      <c r="AX61" s="17">
        <v>0</v>
      </c>
      <c r="AY61" s="17">
        <v>0</v>
      </c>
      <c r="AZ61" s="17">
        <v>0</v>
      </c>
      <c r="BA61" s="17"/>
      <c r="BB61" s="17">
        <v>19</v>
      </c>
      <c r="BC61" s="17">
        <v>11.1</v>
      </c>
      <c r="BD61" s="17">
        <v>610</v>
      </c>
      <c r="BE61" s="17">
        <v>53</v>
      </c>
      <c r="BF61" s="17">
        <v>5.4</v>
      </c>
      <c r="BG61" s="17">
        <v>99</v>
      </c>
      <c r="BH61" s="17">
        <v>135</v>
      </c>
      <c r="BI61" s="17">
        <v>103</v>
      </c>
      <c r="BJ61" s="17">
        <v>6</v>
      </c>
      <c r="BK61" s="17" t="s">
        <v>144</v>
      </c>
      <c r="BL61" s="17" t="s">
        <v>144</v>
      </c>
      <c r="BM61" s="17" t="s">
        <v>144</v>
      </c>
      <c r="BN61" s="17" t="s">
        <v>144</v>
      </c>
      <c r="BO61" s="17" t="s">
        <v>144</v>
      </c>
      <c r="BP61" s="17" t="s">
        <v>144</v>
      </c>
      <c r="BQ61" s="17" t="s">
        <v>282</v>
      </c>
      <c r="BR61" s="17" t="s">
        <v>144</v>
      </c>
      <c r="BS61" s="17">
        <v>71</v>
      </c>
      <c r="BT61" s="17">
        <v>144</v>
      </c>
      <c r="BU61" s="17">
        <v>11</v>
      </c>
      <c r="BV61" s="17">
        <v>12</v>
      </c>
      <c r="BW61" s="17">
        <v>670</v>
      </c>
      <c r="BX61" s="17">
        <v>25</v>
      </c>
      <c r="BY61" s="18">
        <v>45044</v>
      </c>
      <c r="BZ61" s="17" t="s">
        <v>286</v>
      </c>
      <c r="CA61" s="17">
        <v>80.5</v>
      </c>
      <c r="CB61" s="17">
        <v>1</v>
      </c>
      <c r="CC61" s="17">
        <v>0</v>
      </c>
      <c r="CD61" s="17">
        <v>1</v>
      </c>
      <c r="CE61" s="17">
        <v>0</v>
      </c>
      <c r="CF61" s="17">
        <v>0</v>
      </c>
      <c r="CG61" s="17">
        <v>0</v>
      </c>
      <c r="CH61" s="17">
        <v>0</v>
      </c>
      <c r="CI61" s="17">
        <v>19</v>
      </c>
      <c r="CJ61" s="17">
        <v>11.1</v>
      </c>
      <c r="CK61" s="17">
        <v>610</v>
      </c>
      <c r="CL61" s="17">
        <v>53</v>
      </c>
      <c r="CM61" s="17">
        <v>5.4</v>
      </c>
      <c r="CN61" s="17">
        <v>99</v>
      </c>
      <c r="CO61" s="17">
        <v>135</v>
      </c>
      <c r="CP61" s="17">
        <v>103</v>
      </c>
      <c r="CQ61" s="17">
        <v>6</v>
      </c>
      <c r="CR61" s="17" t="s">
        <v>144</v>
      </c>
      <c r="CS61" s="17" t="s">
        <v>144</v>
      </c>
      <c r="CT61" s="17" t="s">
        <v>144</v>
      </c>
      <c r="CU61" s="17" t="s">
        <v>144</v>
      </c>
      <c r="CV61" s="17" t="s">
        <v>144</v>
      </c>
      <c r="CW61" s="17" t="s">
        <v>144</v>
      </c>
      <c r="CX61" s="17" t="s">
        <v>144</v>
      </c>
      <c r="CY61" s="17" t="s">
        <v>144</v>
      </c>
      <c r="CZ61" s="17">
        <v>71</v>
      </c>
      <c r="DA61" s="17">
        <v>144</v>
      </c>
      <c r="DB61" s="17">
        <v>11</v>
      </c>
      <c r="DC61" s="17">
        <v>12</v>
      </c>
      <c r="DD61" s="17">
        <v>670</v>
      </c>
      <c r="DE61" s="17">
        <v>25</v>
      </c>
      <c r="DF61" s="17">
        <v>1</v>
      </c>
      <c r="DG61" s="17">
        <v>1</v>
      </c>
      <c r="DH61" s="17">
        <v>500</v>
      </c>
      <c r="DI61" s="17">
        <v>0</v>
      </c>
      <c r="DJ61" s="17"/>
      <c r="DK61" s="17">
        <v>0</v>
      </c>
      <c r="DL61" s="17">
        <v>0</v>
      </c>
      <c r="DM61" s="17"/>
      <c r="DN61" s="17">
        <v>0</v>
      </c>
      <c r="DO61" s="17">
        <v>0</v>
      </c>
      <c r="DP61" s="17">
        <v>0</v>
      </c>
      <c r="DQ61" s="17">
        <v>0</v>
      </c>
      <c r="DR61" s="17">
        <v>0</v>
      </c>
      <c r="DS61" s="17">
        <v>0</v>
      </c>
      <c r="DT61" s="17">
        <v>130</v>
      </c>
      <c r="DU61" s="17">
        <v>80</v>
      </c>
      <c r="DV61" s="17">
        <v>94</v>
      </c>
      <c r="DW61" s="17">
        <v>97</v>
      </c>
      <c r="DX61" s="17">
        <v>37.1</v>
      </c>
      <c r="DY61" s="17">
        <v>1</v>
      </c>
      <c r="DZ61" s="17">
        <v>0</v>
      </c>
      <c r="EA61" s="17">
        <v>0</v>
      </c>
      <c r="EB61" s="17">
        <v>0</v>
      </c>
      <c r="EC61" s="17">
        <v>21</v>
      </c>
      <c r="ED61" s="17">
        <v>0</v>
      </c>
      <c r="EE61" s="17">
        <v>5.4</v>
      </c>
      <c r="EF61" s="17">
        <v>50</v>
      </c>
      <c r="EG61" s="17" t="s">
        <v>144</v>
      </c>
      <c r="EH61" s="17" t="s">
        <v>144</v>
      </c>
      <c r="EI61" s="17">
        <v>0</v>
      </c>
      <c r="EJ61" s="17">
        <v>0</v>
      </c>
      <c r="EK61" s="17">
        <v>0.7</v>
      </c>
      <c r="EL61" s="17">
        <v>6.3</v>
      </c>
      <c r="EM61" s="17" t="s">
        <v>144</v>
      </c>
      <c r="EN61" s="17" t="s">
        <v>144</v>
      </c>
      <c r="EO61" s="17" t="s">
        <v>144</v>
      </c>
      <c r="EP61" s="17">
        <v>0</v>
      </c>
      <c r="EQ61" s="17">
        <v>0.8</v>
      </c>
      <c r="ER61" s="17">
        <v>296.38</v>
      </c>
      <c r="ES61" s="17">
        <v>5.13</v>
      </c>
      <c r="ET61" s="17">
        <v>282.72000000000003</v>
      </c>
      <c r="EU61" s="17">
        <v>296.3</v>
      </c>
      <c r="EV61" s="17">
        <v>135</v>
      </c>
      <c r="EW61" s="17">
        <v>80</v>
      </c>
      <c r="EX61" s="17">
        <v>97</v>
      </c>
      <c r="EY61" s="17">
        <v>93</v>
      </c>
      <c r="EZ61" s="17">
        <v>6</v>
      </c>
      <c r="FA61" s="17" t="s">
        <v>144</v>
      </c>
      <c r="FB61" s="17">
        <v>0</v>
      </c>
      <c r="FC61" s="17">
        <v>0.9</v>
      </c>
      <c r="FD61" s="17">
        <v>273.83</v>
      </c>
      <c r="FE61" s="17"/>
      <c r="FF61" s="17"/>
      <c r="FG61" s="17"/>
      <c r="FH61" s="17">
        <v>130</v>
      </c>
      <c r="FI61" s="17">
        <v>80</v>
      </c>
      <c r="FJ61" s="17">
        <v>94</v>
      </c>
      <c r="FK61" s="17">
        <v>95</v>
      </c>
      <c r="FL61" s="17">
        <v>5.7</v>
      </c>
      <c r="FM61" s="17" t="s">
        <v>144</v>
      </c>
      <c r="FN61" s="17">
        <v>0</v>
      </c>
      <c r="FO61" s="17">
        <v>0.8</v>
      </c>
      <c r="FP61" s="17">
        <v>273.13</v>
      </c>
      <c r="FQ61" s="17"/>
      <c r="FR61" s="17"/>
      <c r="FS61" s="17"/>
      <c r="FT61" s="17">
        <v>130</v>
      </c>
      <c r="FU61" s="17">
        <v>80</v>
      </c>
      <c r="FV61" s="17">
        <v>94</v>
      </c>
      <c r="FW61" s="17">
        <v>94</v>
      </c>
      <c r="FX61" s="17">
        <v>6</v>
      </c>
      <c r="FY61" s="17"/>
      <c r="FZ61" s="17"/>
      <c r="GA61" s="17"/>
      <c r="GB61" s="17"/>
      <c r="GC61" s="17"/>
      <c r="GD61" s="17" t="s">
        <v>144</v>
      </c>
      <c r="GE61" s="17">
        <v>0</v>
      </c>
      <c r="GF61" s="17">
        <v>0.7</v>
      </c>
      <c r="GG61" s="17">
        <v>408.37</v>
      </c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>
        <v>0</v>
      </c>
      <c r="HJ61" s="17">
        <v>1</v>
      </c>
      <c r="HK61" s="18">
        <v>45049</v>
      </c>
      <c r="HL61" s="17">
        <f>FD61-ER61</f>
        <v>-22.550000000000011</v>
      </c>
      <c r="HM61" s="19">
        <f>HL61/ER61</f>
        <v>-7.6084756056414099E-2</v>
      </c>
      <c r="HN61" s="17">
        <f>GG61-FP61</f>
        <v>135.24</v>
      </c>
      <c r="HO61" s="19">
        <f>HN61/FP61</f>
        <v>0.49514883022736428</v>
      </c>
      <c r="HP61" s="26">
        <f>HN61-HL61</f>
        <v>157.79000000000002</v>
      </c>
      <c r="HR61" s="19"/>
      <c r="HS61" s="17"/>
      <c r="HT61">
        <f>EZ61-EE61</f>
        <v>0.59999999999999964</v>
      </c>
    </row>
    <row r="62" spans="1:255" s="21" customFormat="1" ht="16.149999999999999" customHeight="1" x14ac:dyDescent="0.35">
      <c r="A62" s="17" t="s">
        <v>316</v>
      </c>
      <c r="B62" s="17" t="s">
        <v>317</v>
      </c>
      <c r="C62" s="18">
        <v>22948</v>
      </c>
      <c r="D62" s="17">
        <v>60</v>
      </c>
      <c r="E62" s="17"/>
      <c r="F62" s="17">
        <v>183</v>
      </c>
      <c r="G62" s="17"/>
      <c r="H62" s="17"/>
      <c r="I62" s="17">
        <v>0</v>
      </c>
      <c r="J62" s="17">
        <v>1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1</v>
      </c>
      <c r="AE62" s="17">
        <v>0</v>
      </c>
      <c r="AF62" s="17" t="s">
        <v>144</v>
      </c>
      <c r="AG62" s="17"/>
      <c r="AH62" s="17"/>
      <c r="AI62" s="17"/>
      <c r="AJ62" s="17"/>
      <c r="AK62" s="18">
        <v>45141</v>
      </c>
      <c r="AL62" s="17" t="s">
        <v>38</v>
      </c>
      <c r="AM62" s="17"/>
      <c r="AN62" s="17">
        <v>1</v>
      </c>
      <c r="AO62" s="17">
        <v>1</v>
      </c>
      <c r="AP62" s="17">
        <v>0</v>
      </c>
      <c r="AQ62" s="17">
        <v>0</v>
      </c>
      <c r="AR62" s="17">
        <v>0</v>
      </c>
      <c r="AS62" s="17"/>
      <c r="AT62" s="17">
        <v>6</v>
      </c>
      <c r="AU62" s="17">
        <v>4</v>
      </c>
      <c r="AV62" s="17">
        <v>0</v>
      </c>
      <c r="AW62" s="17">
        <v>0</v>
      </c>
      <c r="AX62" s="17">
        <v>0</v>
      </c>
      <c r="AY62" s="17">
        <v>0</v>
      </c>
      <c r="AZ62" s="17">
        <v>2</v>
      </c>
      <c r="BA62" s="17"/>
      <c r="BB62" s="17">
        <v>24.99</v>
      </c>
      <c r="BC62" s="17">
        <v>8.8000000000000007</v>
      </c>
      <c r="BD62" s="17">
        <v>86</v>
      </c>
      <c r="BE62" s="17">
        <v>44</v>
      </c>
      <c r="BF62" s="17">
        <v>7.1</v>
      </c>
      <c r="BG62" s="17">
        <v>71</v>
      </c>
      <c r="BH62" s="17">
        <v>138</v>
      </c>
      <c r="BI62" s="17">
        <v>106</v>
      </c>
      <c r="BJ62" s="17">
        <v>18</v>
      </c>
      <c r="BK62" s="17">
        <v>134</v>
      </c>
      <c r="BL62" s="17">
        <v>70.8</v>
      </c>
      <c r="BM62" s="17">
        <v>25</v>
      </c>
      <c r="BN62" s="17">
        <v>7.42</v>
      </c>
      <c r="BO62" s="17">
        <v>83</v>
      </c>
      <c r="BP62" s="17">
        <v>37</v>
      </c>
      <c r="BQ62" s="17">
        <v>24</v>
      </c>
      <c r="BR62" s="17">
        <v>1.2</v>
      </c>
      <c r="BS62" s="17">
        <v>58</v>
      </c>
      <c r="BT62" s="17">
        <v>69</v>
      </c>
      <c r="BU62" s="17">
        <v>24</v>
      </c>
      <c r="BV62" s="17">
        <v>11</v>
      </c>
      <c r="BW62" s="17">
        <v>293</v>
      </c>
      <c r="BX62" s="17">
        <v>29</v>
      </c>
      <c r="BY62" s="18">
        <v>45141</v>
      </c>
      <c r="BZ62" s="17" t="s">
        <v>318</v>
      </c>
      <c r="CA62" s="17"/>
      <c r="CB62" s="17">
        <v>6</v>
      </c>
      <c r="CC62" s="17">
        <v>4</v>
      </c>
      <c r="CD62" s="17">
        <v>0</v>
      </c>
      <c r="CE62" s="17">
        <v>0</v>
      </c>
      <c r="CF62" s="17">
        <v>0</v>
      </c>
      <c r="CG62" s="17">
        <v>0</v>
      </c>
      <c r="CH62" s="17">
        <v>2</v>
      </c>
      <c r="CI62" s="17">
        <v>24.99</v>
      </c>
      <c r="CJ62" s="17">
        <v>8.8000000000000007</v>
      </c>
      <c r="CK62" s="17">
        <v>86</v>
      </c>
      <c r="CL62" s="17">
        <v>44</v>
      </c>
      <c r="CM62" s="17">
        <v>7.1</v>
      </c>
      <c r="CN62" s="17">
        <v>71</v>
      </c>
      <c r="CO62" s="17">
        <v>138</v>
      </c>
      <c r="CP62" s="17">
        <v>106</v>
      </c>
      <c r="CQ62" s="17">
        <v>18</v>
      </c>
      <c r="CR62" s="17">
        <v>134</v>
      </c>
      <c r="CS62" s="17">
        <v>70.8</v>
      </c>
      <c r="CT62" s="17">
        <v>25</v>
      </c>
      <c r="CU62" s="17">
        <v>7.42</v>
      </c>
      <c r="CV62" s="17">
        <v>83</v>
      </c>
      <c r="CW62" s="17">
        <v>37</v>
      </c>
      <c r="CX62" s="17">
        <v>24</v>
      </c>
      <c r="CY62" s="17">
        <v>1.2</v>
      </c>
      <c r="CZ62" s="17">
        <v>58</v>
      </c>
      <c r="DA62" s="17">
        <v>69</v>
      </c>
      <c r="DB62" s="17">
        <v>24</v>
      </c>
      <c r="DC62" s="17">
        <v>11</v>
      </c>
      <c r="DD62" s="17">
        <v>293</v>
      </c>
      <c r="DE62" s="17">
        <v>29</v>
      </c>
      <c r="DF62" s="17">
        <v>1</v>
      </c>
      <c r="DG62" s="17">
        <v>2</v>
      </c>
      <c r="DH62" s="17">
        <v>100</v>
      </c>
      <c r="DI62" s="17">
        <v>1500</v>
      </c>
      <c r="DJ62" s="17"/>
      <c r="DK62" s="17">
        <v>0</v>
      </c>
      <c r="DL62" s="17">
        <v>0.21</v>
      </c>
      <c r="DM62" s="17"/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91</v>
      </c>
      <c r="DU62" s="17">
        <v>40</v>
      </c>
      <c r="DV62" s="17">
        <v>57</v>
      </c>
      <c r="DW62" s="17">
        <v>102</v>
      </c>
      <c r="DX62" s="17">
        <v>36.799999999999997</v>
      </c>
      <c r="DY62" s="17">
        <v>1</v>
      </c>
      <c r="DZ62" s="17">
        <v>0</v>
      </c>
      <c r="EA62" s="17">
        <v>0</v>
      </c>
      <c r="EB62" s="17">
        <v>0</v>
      </c>
      <c r="EC62" s="17" t="s">
        <v>176</v>
      </c>
      <c r="ED62" s="17">
        <v>1</v>
      </c>
      <c r="EE62" s="17">
        <v>4.3</v>
      </c>
      <c r="EF62" s="17">
        <v>50</v>
      </c>
      <c r="EG62" s="17">
        <v>8</v>
      </c>
      <c r="EH62" s="17">
        <v>100</v>
      </c>
      <c r="EI62" s="17">
        <v>1</v>
      </c>
      <c r="EJ62" s="17">
        <v>0</v>
      </c>
      <c r="EK62" s="17" t="s">
        <v>144</v>
      </c>
      <c r="EL62" s="17">
        <v>9</v>
      </c>
      <c r="EM62" s="17" t="s">
        <v>144</v>
      </c>
      <c r="EN62" s="17" t="s">
        <v>144</v>
      </c>
      <c r="EO62" s="17" t="s">
        <v>144</v>
      </c>
      <c r="EP62" s="17">
        <v>0</v>
      </c>
      <c r="EQ62" s="17">
        <v>3.27</v>
      </c>
      <c r="ER62" s="17">
        <v>44.1</v>
      </c>
      <c r="ES62" s="17">
        <v>7.9</v>
      </c>
      <c r="ET62" s="17">
        <v>24.4</v>
      </c>
      <c r="EU62" s="17">
        <v>63.6</v>
      </c>
      <c r="EV62" s="17">
        <v>108</v>
      </c>
      <c r="EW62" s="17">
        <v>44</v>
      </c>
      <c r="EX62" s="17">
        <v>66</v>
      </c>
      <c r="EY62" s="17">
        <v>110</v>
      </c>
      <c r="EZ62" s="17">
        <v>6.2</v>
      </c>
      <c r="FA62" s="17" t="s">
        <v>144</v>
      </c>
      <c r="FB62" s="17">
        <v>0</v>
      </c>
      <c r="FC62" s="17">
        <v>3.5</v>
      </c>
      <c r="FD62" s="17">
        <v>39.1</v>
      </c>
      <c r="FE62" s="17"/>
      <c r="FF62" s="17"/>
      <c r="FG62" s="17"/>
      <c r="FH62" s="17">
        <v>112</v>
      </c>
      <c r="FI62" s="17">
        <v>48</v>
      </c>
      <c r="FJ62" s="17">
        <v>71</v>
      </c>
      <c r="FK62" s="17">
        <v>107</v>
      </c>
      <c r="FL62" s="17">
        <v>3.8</v>
      </c>
      <c r="FM62" s="17" t="s">
        <v>144</v>
      </c>
      <c r="FN62" s="17">
        <v>44.3</v>
      </c>
      <c r="FO62" s="17">
        <v>3.2</v>
      </c>
      <c r="FP62" s="17">
        <v>44.3</v>
      </c>
      <c r="FQ62" s="17"/>
      <c r="FR62" s="17"/>
      <c r="FS62" s="17"/>
      <c r="FT62" s="17">
        <v>120</v>
      </c>
      <c r="FU62" s="17">
        <v>52</v>
      </c>
      <c r="FV62" s="17">
        <v>75</v>
      </c>
      <c r="FW62" s="17">
        <v>118</v>
      </c>
      <c r="FX62" s="17">
        <v>5.5</v>
      </c>
      <c r="FY62" s="17">
        <v>50</v>
      </c>
      <c r="FZ62" s="17" t="s">
        <v>282</v>
      </c>
      <c r="GA62" s="17">
        <v>8</v>
      </c>
      <c r="GB62" s="17">
        <v>10</v>
      </c>
      <c r="GC62" s="17">
        <v>50</v>
      </c>
      <c r="GD62" s="17" t="s">
        <v>144</v>
      </c>
      <c r="GE62" s="17">
        <v>0</v>
      </c>
      <c r="GF62" s="17">
        <v>2.2000000000000002</v>
      </c>
      <c r="GG62" s="17">
        <v>120.36</v>
      </c>
      <c r="GH62" s="17"/>
      <c r="GI62" s="17"/>
      <c r="GJ62" s="17"/>
      <c r="GK62" s="17">
        <v>115</v>
      </c>
      <c r="GL62" s="17">
        <v>46</v>
      </c>
      <c r="GM62" s="17">
        <v>70</v>
      </c>
      <c r="GN62" s="17">
        <v>122</v>
      </c>
      <c r="GO62" s="17">
        <v>5.5</v>
      </c>
      <c r="GP62" s="17" t="s">
        <v>144</v>
      </c>
      <c r="GQ62" s="17">
        <v>0</v>
      </c>
      <c r="GR62" s="17">
        <v>1.8</v>
      </c>
      <c r="GS62" s="17">
        <v>128.96</v>
      </c>
      <c r="GT62" s="17"/>
      <c r="GU62" s="17"/>
      <c r="GV62" s="17"/>
      <c r="GW62" s="17">
        <v>115</v>
      </c>
      <c r="GX62" s="17">
        <v>43</v>
      </c>
      <c r="GY62" s="17">
        <v>68</v>
      </c>
      <c r="GZ62" s="17">
        <v>114</v>
      </c>
      <c r="HA62" s="17">
        <v>5.5</v>
      </c>
      <c r="HB62" s="17" t="s">
        <v>144</v>
      </c>
      <c r="HC62" s="17">
        <v>0</v>
      </c>
      <c r="HD62" s="17">
        <v>2.2999999999999998</v>
      </c>
      <c r="HE62" s="17">
        <v>113.42</v>
      </c>
      <c r="HF62" s="17"/>
      <c r="HG62" s="17"/>
      <c r="HH62" s="17"/>
      <c r="HI62" s="17"/>
      <c r="HJ62" s="17"/>
      <c r="HK62" s="17"/>
      <c r="HL62" s="17">
        <f>FD62-ER62</f>
        <v>-5</v>
      </c>
      <c r="HM62" s="19">
        <f>HL62/ER62</f>
        <v>-0.11337868480725623</v>
      </c>
      <c r="HN62" s="17">
        <f>GG62-FP62</f>
        <v>76.06</v>
      </c>
      <c r="HO62" s="19">
        <f>HN62/FP62</f>
        <v>1.7169300225733637</v>
      </c>
      <c r="HP62" s="26">
        <f>HN62-HL62</f>
        <v>81.06</v>
      </c>
      <c r="HQ62">
        <f>HE62-FP62</f>
        <v>69.12</v>
      </c>
      <c r="HR62" s="19">
        <f>HQ62/FP62</f>
        <v>1.560270880361174</v>
      </c>
      <c r="HS62" s="17">
        <f>HE62-GG62</f>
        <v>-6.9399999999999977</v>
      </c>
      <c r="HT62">
        <f>EZ62-EE62</f>
        <v>1.9000000000000004</v>
      </c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</row>
    <row r="69" spans="242:242" x14ac:dyDescent="0.35">
      <c r="IH69" t="s">
        <v>404</v>
      </c>
    </row>
    <row r="70" spans="242:242" x14ac:dyDescent="0.35">
      <c r="IH70">
        <v>56</v>
      </c>
    </row>
    <row r="71" spans="242:242" x14ac:dyDescent="0.35">
      <c r="IH71" s="31">
        <v>62</v>
      </c>
    </row>
    <row r="72" spans="242:242" x14ac:dyDescent="0.35">
      <c r="IH72" s="31">
        <v>43</v>
      </c>
    </row>
    <row r="73" spans="242:242" x14ac:dyDescent="0.35">
      <c r="IH73" s="31">
        <v>81</v>
      </c>
    </row>
    <row r="74" spans="242:242" x14ac:dyDescent="0.35">
      <c r="IH74" s="31">
        <v>44</v>
      </c>
    </row>
    <row r="75" spans="242:242" x14ac:dyDescent="0.35">
      <c r="IH75" s="31">
        <v>38</v>
      </c>
    </row>
    <row r="76" spans="242:242" x14ac:dyDescent="0.35">
      <c r="IH76" s="31">
        <v>38</v>
      </c>
    </row>
    <row r="77" spans="242:242" x14ac:dyDescent="0.35">
      <c r="IH77" s="31">
        <v>26</v>
      </c>
    </row>
    <row r="78" spans="242:242" x14ac:dyDescent="0.35">
      <c r="IH78" s="31">
        <v>35</v>
      </c>
    </row>
    <row r="79" spans="242:242" x14ac:dyDescent="0.35">
      <c r="IH79" s="31">
        <v>43</v>
      </c>
    </row>
    <row r="80" spans="242:242" x14ac:dyDescent="0.35">
      <c r="IH80" s="31">
        <v>31</v>
      </c>
    </row>
    <row r="81" spans="242:242" x14ac:dyDescent="0.35">
      <c r="IH81" s="31">
        <v>23</v>
      </c>
    </row>
    <row r="82" spans="242:242" x14ac:dyDescent="0.35">
      <c r="IH82" s="32">
        <v>77</v>
      </c>
    </row>
    <row r="83" spans="242:242" x14ac:dyDescent="0.35">
      <c r="IH83" s="32">
        <v>43</v>
      </c>
    </row>
    <row r="84" spans="242:242" x14ac:dyDescent="0.35">
      <c r="IH84" s="31">
        <v>62</v>
      </c>
    </row>
    <row r="85" spans="242:242" x14ac:dyDescent="0.35">
      <c r="IH85" s="31">
        <v>45</v>
      </c>
    </row>
    <row r="86" spans="242:242" x14ac:dyDescent="0.35">
      <c r="IH86" s="31">
        <v>79</v>
      </c>
    </row>
    <row r="87" spans="242:242" x14ac:dyDescent="0.35">
      <c r="IH87" s="31">
        <v>38</v>
      </c>
    </row>
    <row r="88" spans="242:242" x14ac:dyDescent="0.35">
      <c r="IH88" s="31">
        <v>67</v>
      </c>
    </row>
    <row r="89" spans="242:242" x14ac:dyDescent="0.35">
      <c r="IH89" s="31">
        <v>23</v>
      </c>
    </row>
    <row r="90" spans="242:242" x14ac:dyDescent="0.35">
      <c r="IH90" s="32">
        <v>95</v>
      </c>
    </row>
    <row r="91" spans="242:242" x14ac:dyDescent="0.35">
      <c r="IH91" s="31">
        <v>33</v>
      </c>
    </row>
    <row r="92" spans="242:242" x14ac:dyDescent="0.35">
      <c r="IH92" s="31">
        <v>20</v>
      </c>
    </row>
    <row r="93" spans="242:242" x14ac:dyDescent="0.35">
      <c r="IH93" s="31">
        <v>44</v>
      </c>
    </row>
    <row r="94" spans="242:242" x14ac:dyDescent="0.35">
      <c r="IH94" s="32">
        <v>68</v>
      </c>
    </row>
    <row r="95" spans="242:242" x14ac:dyDescent="0.35">
      <c r="IH95" s="31">
        <v>33</v>
      </c>
    </row>
    <row r="96" spans="242:242" x14ac:dyDescent="0.35">
      <c r="IH96" s="31">
        <v>63</v>
      </c>
    </row>
    <row r="97" spans="242:242" x14ac:dyDescent="0.35">
      <c r="IH97" s="31">
        <v>77</v>
      </c>
    </row>
    <row r="98" spans="242:242" x14ac:dyDescent="0.35">
      <c r="IH98" s="31">
        <v>22</v>
      </c>
    </row>
    <row r="99" spans="242:242" x14ac:dyDescent="0.35">
      <c r="IH99" s="31">
        <v>75</v>
      </c>
    </row>
    <row r="100" spans="242:242" x14ac:dyDescent="0.35">
      <c r="IH100" s="31">
        <v>55</v>
      </c>
    </row>
    <row r="101" spans="242:242" x14ac:dyDescent="0.35">
      <c r="IH101" s="31">
        <v>61</v>
      </c>
    </row>
    <row r="102" spans="242:242" x14ac:dyDescent="0.35">
      <c r="IH102" s="32">
        <v>29</v>
      </c>
    </row>
    <row r="103" spans="242:242" x14ac:dyDescent="0.35">
      <c r="IH103" s="31">
        <v>20</v>
      </c>
    </row>
    <row r="104" spans="242:242" x14ac:dyDescent="0.35">
      <c r="IH104" s="31">
        <v>16</v>
      </c>
    </row>
    <row r="105" spans="242:242" x14ac:dyDescent="0.35">
      <c r="IH105" s="31">
        <v>36</v>
      </c>
    </row>
    <row r="106" spans="242:242" x14ac:dyDescent="0.35">
      <c r="IH106" s="31">
        <v>40</v>
      </c>
    </row>
    <row r="109" spans="242:242" x14ac:dyDescent="0.35">
      <c r="IH109">
        <f>MEDIAN(IH70:IH106)</f>
        <v>43</v>
      </c>
    </row>
    <row r="110" spans="242:242" x14ac:dyDescent="0.35">
      <c r="IH110">
        <f>_xlfn.QUARTILE.INC(IH70:IH106,1)</f>
        <v>33</v>
      </c>
    </row>
    <row r="111" spans="242:242" x14ac:dyDescent="0.35">
      <c r="IH111">
        <f>_xlfn.QUARTILE.INC(IH70:IH106,3)</f>
        <v>62</v>
      </c>
    </row>
  </sheetData>
  <mergeCells count="6">
    <mergeCell ref="GW1:HH1"/>
    <mergeCell ref="DL1:EU1"/>
    <mergeCell ref="EV1:FG1"/>
    <mergeCell ref="FH1:FS1"/>
    <mergeCell ref="FT1:GJ1"/>
    <mergeCell ref="GK1:GV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R22"/>
  <sheetViews>
    <sheetView topLeftCell="HG1" zoomScale="70" zoomScaleNormal="70" workbookViewId="0">
      <pane xSplit="9080" topLeftCell="HH1" activePane="topRight"/>
      <selection activeCell="HG8" sqref="A8:XFD8"/>
      <selection pane="topRight" activeCell="HP8" sqref="HP8:HP22"/>
    </sheetView>
  </sheetViews>
  <sheetFormatPr baseColWidth="10" defaultRowHeight="14.5" x14ac:dyDescent="0.35"/>
  <cols>
    <col min="216" max="216" width="23.453125" bestFit="1" customWidth="1"/>
    <col min="217" max="217" width="30.7265625" bestFit="1" customWidth="1"/>
    <col min="218" max="218" width="23.453125" bestFit="1" customWidth="1"/>
    <col min="224" max="224" width="21.453125" bestFit="1" customWidth="1"/>
  </cols>
  <sheetData>
    <row r="1" spans="1:226" s="4" customFormat="1" x14ac:dyDescent="0.3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6" t="s">
        <v>50</v>
      </c>
      <c r="AZ1" s="6" t="s">
        <v>70</v>
      </c>
      <c r="BA1" s="6" t="s">
        <v>51</v>
      </c>
      <c r="BB1" s="6" t="s">
        <v>71</v>
      </c>
      <c r="BC1" s="6" t="s">
        <v>72</v>
      </c>
      <c r="BD1" s="6" t="s">
        <v>73</v>
      </c>
      <c r="BE1" s="6" t="s">
        <v>74</v>
      </c>
      <c r="BF1" s="6" t="s">
        <v>75</v>
      </c>
      <c r="BG1" s="6" t="s">
        <v>76</v>
      </c>
      <c r="BH1" s="6" t="s">
        <v>77</v>
      </c>
      <c r="BI1" s="6" t="s">
        <v>78</v>
      </c>
      <c r="BJ1" s="6" t="s">
        <v>79</v>
      </c>
      <c r="BK1" s="6" t="s">
        <v>80</v>
      </c>
      <c r="BL1" s="6" t="s">
        <v>81</v>
      </c>
      <c r="BM1" s="6" t="s">
        <v>82</v>
      </c>
      <c r="BN1" s="6" t="s">
        <v>83</v>
      </c>
      <c r="BO1" s="6" t="s">
        <v>84</v>
      </c>
      <c r="BP1" s="6" t="s">
        <v>85</v>
      </c>
      <c r="BQ1" s="6" t="s">
        <v>86</v>
      </c>
      <c r="BR1" s="6" t="s">
        <v>87</v>
      </c>
      <c r="BS1" s="6" t="s">
        <v>88</v>
      </c>
      <c r="BT1" s="6" t="s">
        <v>89</v>
      </c>
      <c r="BU1" s="6" t="s">
        <v>90</v>
      </c>
      <c r="BV1" s="14" t="s">
        <v>147</v>
      </c>
      <c r="BW1" s="14" t="s">
        <v>148</v>
      </c>
      <c r="BX1" s="14" t="s">
        <v>149</v>
      </c>
      <c r="BY1" s="14" t="s">
        <v>150</v>
      </c>
      <c r="BZ1" s="14" t="s">
        <v>44</v>
      </c>
      <c r="CA1" s="14" t="s">
        <v>45</v>
      </c>
      <c r="CB1" s="14" t="s">
        <v>46</v>
      </c>
      <c r="CC1" s="14" t="s">
        <v>47</v>
      </c>
      <c r="CD1" s="14" t="s">
        <v>48</v>
      </c>
      <c r="CE1" s="14" t="s">
        <v>69</v>
      </c>
      <c r="CF1" s="14" t="s">
        <v>145</v>
      </c>
      <c r="CG1" s="14" t="s">
        <v>151</v>
      </c>
      <c r="CH1" s="14" t="s">
        <v>152</v>
      </c>
      <c r="CI1" s="14" t="s">
        <v>153</v>
      </c>
      <c r="CJ1" s="14" t="s">
        <v>154</v>
      </c>
      <c r="CK1" s="14" t="s">
        <v>155</v>
      </c>
      <c r="CL1" s="14" t="s">
        <v>156</v>
      </c>
      <c r="CM1" s="14" t="s">
        <v>157</v>
      </c>
      <c r="CN1" s="14" t="s">
        <v>158</v>
      </c>
      <c r="CO1" s="14" t="s">
        <v>159</v>
      </c>
      <c r="CP1" s="14" t="s">
        <v>160</v>
      </c>
      <c r="CQ1" s="14" t="s">
        <v>161</v>
      </c>
      <c r="CR1" s="14" t="s">
        <v>162</v>
      </c>
      <c r="CS1" s="14" t="s">
        <v>163</v>
      </c>
      <c r="CT1" s="14" t="s">
        <v>164</v>
      </c>
      <c r="CU1" s="14" t="s">
        <v>165</v>
      </c>
      <c r="CV1" s="14" t="s">
        <v>174</v>
      </c>
      <c r="CW1" s="14" t="s">
        <v>166</v>
      </c>
      <c r="CX1" s="14" t="s">
        <v>167</v>
      </c>
      <c r="CY1" s="14" t="s">
        <v>168</v>
      </c>
      <c r="CZ1" s="14" t="s">
        <v>169</v>
      </c>
      <c r="DA1" s="14" t="s">
        <v>170</v>
      </c>
      <c r="DB1" s="14" t="s">
        <v>171</v>
      </c>
      <c r="DC1" s="14" t="s">
        <v>175</v>
      </c>
      <c r="DD1" s="8" t="s">
        <v>92</v>
      </c>
      <c r="DE1" s="8" t="s">
        <v>91</v>
      </c>
      <c r="DF1" s="9" t="s">
        <v>255</v>
      </c>
      <c r="DG1" s="9" t="s">
        <v>256</v>
      </c>
      <c r="DH1" s="10" t="s">
        <v>52</v>
      </c>
      <c r="DI1" s="10" t="s">
        <v>53</v>
      </c>
      <c r="DJ1" s="10" t="s">
        <v>54</v>
      </c>
      <c r="DK1" s="10" t="s">
        <v>55</v>
      </c>
      <c r="DL1" s="10" t="s">
        <v>56</v>
      </c>
      <c r="DM1" s="10" t="s">
        <v>57</v>
      </c>
      <c r="DN1" s="10" t="s">
        <v>58</v>
      </c>
      <c r="DO1" s="10" t="s">
        <v>93</v>
      </c>
      <c r="DP1" s="10" t="s">
        <v>94</v>
      </c>
      <c r="DQ1" s="10" t="s">
        <v>95</v>
      </c>
      <c r="DR1" s="10" t="s">
        <v>96</v>
      </c>
      <c r="DS1" s="10" t="s">
        <v>97</v>
      </c>
      <c r="DT1" s="10" t="s">
        <v>98</v>
      </c>
      <c r="DU1" s="10" t="s">
        <v>99</v>
      </c>
      <c r="DV1" s="10" t="s">
        <v>100</v>
      </c>
      <c r="DW1" s="10" t="s">
        <v>101</v>
      </c>
      <c r="DX1" s="10" t="s">
        <v>102</v>
      </c>
      <c r="DY1" s="10" t="s">
        <v>103</v>
      </c>
      <c r="DZ1" s="10" t="s">
        <v>104</v>
      </c>
      <c r="EA1" s="10" t="s">
        <v>105</v>
      </c>
      <c r="EB1" s="10" t="s">
        <v>106</v>
      </c>
      <c r="EC1" s="10" t="s">
        <v>107</v>
      </c>
      <c r="ED1" s="10" t="s">
        <v>108</v>
      </c>
      <c r="EE1" s="10" t="s">
        <v>109</v>
      </c>
      <c r="EF1" s="10" t="s">
        <v>110</v>
      </c>
      <c r="EG1" s="10" t="s">
        <v>111</v>
      </c>
      <c r="EH1" s="10" t="s">
        <v>112</v>
      </c>
      <c r="EI1" s="10" t="s">
        <v>118</v>
      </c>
      <c r="EJ1" s="10" t="s">
        <v>119</v>
      </c>
      <c r="EK1" s="10" t="s">
        <v>113</v>
      </c>
      <c r="EL1" s="10" t="s">
        <v>114</v>
      </c>
      <c r="EM1" s="10" t="s">
        <v>115</v>
      </c>
      <c r="EN1" s="10" t="s">
        <v>116</v>
      </c>
      <c r="EO1" s="10" t="s">
        <v>117</v>
      </c>
      <c r="EP1" s="10" t="s">
        <v>120</v>
      </c>
      <c r="EQ1" s="5" t="s">
        <v>122</v>
      </c>
      <c r="ER1" s="5" t="s">
        <v>121</v>
      </c>
      <c r="ES1" s="5" t="s">
        <v>59</v>
      </c>
      <c r="ET1" s="5" t="s">
        <v>60</v>
      </c>
      <c r="EU1" s="5" t="s">
        <v>61</v>
      </c>
      <c r="EV1" s="5" t="s">
        <v>62</v>
      </c>
      <c r="EW1" s="5" t="s">
        <v>63</v>
      </c>
      <c r="EX1" s="5" t="s">
        <v>64</v>
      </c>
      <c r="EY1" s="5" t="s">
        <v>65</v>
      </c>
      <c r="EZ1" s="5" t="s">
        <v>66</v>
      </c>
      <c r="FA1" s="5" t="s">
        <v>67</v>
      </c>
      <c r="FB1" s="5" t="s">
        <v>68</v>
      </c>
      <c r="FC1" s="13" t="s">
        <v>123</v>
      </c>
      <c r="FD1" s="13" t="s">
        <v>124</v>
      </c>
      <c r="FE1" s="13" t="s">
        <v>125</v>
      </c>
      <c r="FF1" s="13" t="s">
        <v>126</v>
      </c>
      <c r="FG1" s="13" t="s">
        <v>127</v>
      </c>
      <c r="FH1" s="13" t="s">
        <v>128</v>
      </c>
      <c r="FI1" s="13" t="s">
        <v>63</v>
      </c>
      <c r="FJ1" s="13" t="s">
        <v>129</v>
      </c>
      <c r="FK1" s="13" t="s">
        <v>130</v>
      </c>
      <c r="FL1" s="13" t="s">
        <v>66</v>
      </c>
      <c r="FM1" s="13" t="s">
        <v>67</v>
      </c>
      <c r="FN1" s="13" t="s">
        <v>68</v>
      </c>
      <c r="FO1" s="12" t="s">
        <v>131</v>
      </c>
      <c r="FP1" s="12" t="s">
        <v>132</v>
      </c>
      <c r="FQ1" s="12" t="s">
        <v>133</v>
      </c>
      <c r="FR1" s="12" t="s">
        <v>134</v>
      </c>
      <c r="FS1" s="12" t="s">
        <v>135</v>
      </c>
      <c r="FT1" s="12" t="s">
        <v>30</v>
      </c>
      <c r="FU1" s="12" t="s">
        <v>261</v>
      </c>
      <c r="FV1" s="12" t="s">
        <v>262</v>
      </c>
      <c r="FW1" s="12" t="s">
        <v>263</v>
      </c>
      <c r="FX1" s="12" t="s">
        <v>264</v>
      </c>
      <c r="FY1" s="12" t="s">
        <v>136</v>
      </c>
      <c r="FZ1" s="12" t="s">
        <v>63</v>
      </c>
      <c r="GA1" s="12" t="s">
        <v>137</v>
      </c>
      <c r="GB1" s="12" t="s">
        <v>138</v>
      </c>
      <c r="GC1" s="12" t="s">
        <v>139</v>
      </c>
      <c r="GD1" s="12" t="s">
        <v>140</v>
      </c>
      <c r="GE1" s="12" t="s">
        <v>141</v>
      </c>
      <c r="GF1" s="11" t="s">
        <v>269</v>
      </c>
      <c r="GG1" s="11" t="s">
        <v>270</v>
      </c>
      <c r="GH1" s="11" t="s">
        <v>271</v>
      </c>
      <c r="GI1" s="11" t="s">
        <v>272</v>
      </c>
      <c r="GJ1" s="11" t="s">
        <v>61</v>
      </c>
      <c r="GK1" s="11" t="s">
        <v>273</v>
      </c>
      <c r="GL1" s="11" t="s">
        <v>63</v>
      </c>
      <c r="GM1" s="11" t="s">
        <v>274</v>
      </c>
      <c r="GN1" s="11" t="s">
        <v>275</v>
      </c>
      <c r="GO1" s="11" t="s">
        <v>66</v>
      </c>
      <c r="GP1" s="11" t="s">
        <v>67</v>
      </c>
      <c r="GQ1" s="11" t="s">
        <v>68</v>
      </c>
      <c r="GR1" s="15" t="s">
        <v>276</v>
      </c>
      <c r="GS1" s="15" t="s">
        <v>270</v>
      </c>
      <c r="GT1" s="15" t="s">
        <v>271</v>
      </c>
      <c r="GU1" s="15" t="s">
        <v>60</v>
      </c>
      <c r="GV1" s="15" t="s">
        <v>61</v>
      </c>
      <c r="GW1" s="15" t="s">
        <v>273</v>
      </c>
      <c r="GX1" s="15" t="s">
        <v>63</v>
      </c>
      <c r="GY1" s="15" t="s">
        <v>64</v>
      </c>
      <c r="GZ1" s="15" t="s">
        <v>130</v>
      </c>
      <c r="HA1" s="15" t="s">
        <v>66</v>
      </c>
      <c r="HB1" s="15" t="s">
        <v>67</v>
      </c>
      <c r="HC1" s="15" t="s">
        <v>68</v>
      </c>
      <c r="HD1" s="4" t="s">
        <v>278</v>
      </c>
      <c r="HE1" s="4" t="s">
        <v>277</v>
      </c>
      <c r="HF1" s="4" t="s">
        <v>177</v>
      </c>
      <c r="HG1" s="4" t="s">
        <v>324</v>
      </c>
      <c r="HH1" s="4" t="s">
        <v>334</v>
      </c>
      <c r="HI1" s="4" t="s">
        <v>325</v>
      </c>
      <c r="HJ1" s="4" t="s">
        <v>334</v>
      </c>
      <c r="HK1" s="4" t="s">
        <v>332</v>
      </c>
      <c r="HL1" s="4" t="s">
        <v>334</v>
      </c>
      <c r="HM1" s="4" t="s">
        <v>333</v>
      </c>
      <c r="HN1" s="4" t="s">
        <v>335</v>
      </c>
      <c r="HO1" s="4" t="s">
        <v>386</v>
      </c>
      <c r="HP1" s="4" t="s">
        <v>388</v>
      </c>
    </row>
    <row r="2" spans="1:226" x14ac:dyDescent="0.35">
      <c r="A2" t="s">
        <v>302</v>
      </c>
      <c r="B2" t="s">
        <v>303</v>
      </c>
      <c r="C2" s="3">
        <v>24433</v>
      </c>
      <c r="D2">
        <v>56</v>
      </c>
      <c r="E2">
        <v>64</v>
      </c>
      <c r="F2">
        <v>177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 t="s">
        <v>144</v>
      </c>
      <c r="AJ2" s="3">
        <v>45122</v>
      </c>
      <c r="AK2" t="s">
        <v>304</v>
      </c>
      <c r="AL2">
        <v>1</v>
      </c>
      <c r="AM2">
        <v>1</v>
      </c>
      <c r="AN2">
        <v>0</v>
      </c>
      <c r="AO2">
        <v>0</v>
      </c>
      <c r="AP2">
        <v>0</v>
      </c>
      <c r="AR2">
        <v>14</v>
      </c>
      <c r="AS2">
        <v>4</v>
      </c>
      <c r="AT2">
        <v>3</v>
      </c>
      <c r="AU2">
        <v>3</v>
      </c>
      <c r="AV2">
        <v>2</v>
      </c>
      <c r="AW2">
        <v>2</v>
      </c>
      <c r="AX2">
        <v>0</v>
      </c>
      <c r="AY2">
        <v>9.9</v>
      </c>
      <c r="AZ2">
        <v>10.3</v>
      </c>
      <c r="BA2">
        <v>320</v>
      </c>
      <c r="BB2">
        <v>65</v>
      </c>
      <c r="BC2">
        <v>17.3</v>
      </c>
      <c r="BD2">
        <v>332</v>
      </c>
      <c r="BE2">
        <v>131</v>
      </c>
      <c r="BF2">
        <v>96</v>
      </c>
      <c r="BG2">
        <v>55</v>
      </c>
      <c r="BH2" t="s">
        <v>144</v>
      </c>
      <c r="BI2">
        <v>0.32</v>
      </c>
      <c r="BJ2" t="s">
        <v>144</v>
      </c>
      <c r="BK2">
        <v>7.4</v>
      </c>
      <c r="BL2">
        <v>62</v>
      </c>
      <c r="BM2">
        <v>33</v>
      </c>
      <c r="BN2">
        <v>20</v>
      </c>
      <c r="BO2">
        <v>5.2</v>
      </c>
      <c r="BP2">
        <v>51</v>
      </c>
      <c r="BQ2" t="s">
        <v>144</v>
      </c>
      <c r="BR2">
        <v>46</v>
      </c>
      <c r="BS2">
        <v>26</v>
      </c>
      <c r="BT2">
        <v>367</v>
      </c>
      <c r="BU2">
        <v>93</v>
      </c>
      <c r="BV2" s="3">
        <v>45127</v>
      </c>
      <c r="BX2">
        <v>52.5</v>
      </c>
      <c r="BY2">
        <v>14</v>
      </c>
      <c r="BZ2">
        <v>4</v>
      </c>
      <c r="CA2">
        <v>2</v>
      </c>
      <c r="CB2">
        <v>3</v>
      </c>
      <c r="CC2">
        <v>3</v>
      </c>
      <c r="CD2">
        <v>2</v>
      </c>
      <c r="CE2">
        <v>0</v>
      </c>
      <c r="CF2">
        <v>15.2</v>
      </c>
      <c r="CG2">
        <v>9.3000000000000007</v>
      </c>
      <c r="CH2">
        <v>234</v>
      </c>
      <c r="CI2">
        <v>67</v>
      </c>
      <c r="CJ2">
        <v>44</v>
      </c>
      <c r="CK2">
        <v>360</v>
      </c>
      <c r="CL2">
        <v>142</v>
      </c>
      <c r="CM2">
        <v>108</v>
      </c>
      <c r="CN2">
        <v>45</v>
      </c>
      <c r="CO2" t="s">
        <v>282</v>
      </c>
      <c r="CP2" t="s">
        <v>282</v>
      </c>
      <c r="CQ2" t="s">
        <v>282</v>
      </c>
      <c r="CR2">
        <v>7.4</v>
      </c>
      <c r="CS2">
        <v>70</v>
      </c>
      <c r="CT2">
        <v>30</v>
      </c>
      <c r="CU2">
        <v>19</v>
      </c>
      <c r="CV2">
        <v>1.3</v>
      </c>
      <c r="CW2">
        <v>53</v>
      </c>
      <c r="CX2" t="s">
        <v>144</v>
      </c>
      <c r="CY2">
        <v>50</v>
      </c>
      <c r="CZ2">
        <v>29</v>
      </c>
      <c r="DA2">
        <v>513</v>
      </c>
      <c r="DB2">
        <v>70</v>
      </c>
      <c r="DC2">
        <v>1</v>
      </c>
      <c r="DD2">
        <v>2</v>
      </c>
      <c r="DE2">
        <v>100</v>
      </c>
      <c r="DF2">
        <v>1000</v>
      </c>
      <c r="DG2">
        <v>2</v>
      </c>
      <c r="DH2">
        <v>0.18</v>
      </c>
      <c r="DI2">
        <v>0</v>
      </c>
      <c r="DJ2">
        <v>0</v>
      </c>
      <c r="DK2">
        <v>80</v>
      </c>
      <c r="DL2">
        <v>0</v>
      </c>
      <c r="DM2">
        <v>0</v>
      </c>
      <c r="DN2">
        <v>0</v>
      </c>
      <c r="DO2">
        <v>111</v>
      </c>
      <c r="DP2">
        <v>53</v>
      </c>
      <c r="DQ2">
        <v>74</v>
      </c>
      <c r="DR2">
        <v>107</v>
      </c>
      <c r="DS2">
        <v>36.6</v>
      </c>
      <c r="DT2">
        <v>0</v>
      </c>
      <c r="DU2">
        <v>1</v>
      </c>
      <c r="DV2">
        <v>0</v>
      </c>
      <c r="DW2">
        <v>5</v>
      </c>
      <c r="DX2">
        <v>30</v>
      </c>
      <c r="DY2">
        <v>60</v>
      </c>
      <c r="DZ2">
        <v>7.8</v>
      </c>
      <c r="EA2">
        <v>50</v>
      </c>
      <c r="EB2">
        <v>15</v>
      </c>
      <c r="EC2">
        <v>0</v>
      </c>
      <c r="ED2">
        <v>0</v>
      </c>
      <c r="EE2">
        <v>0</v>
      </c>
      <c r="EF2">
        <v>0.8</v>
      </c>
      <c r="EG2">
        <v>5.4</v>
      </c>
      <c r="EH2" t="s">
        <v>144</v>
      </c>
      <c r="EI2" t="s">
        <v>144</v>
      </c>
      <c r="EJ2" t="s">
        <v>144</v>
      </c>
      <c r="EK2">
        <v>0</v>
      </c>
      <c r="EL2">
        <v>1.2</v>
      </c>
      <c r="EM2">
        <v>175.08</v>
      </c>
      <c r="EN2">
        <v>24.1</v>
      </c>
      <c r="EO2">
        <v>115</v>
      </c>
      <c r="EP2">
        <v>255</v>
      </c>
      <c r="EQ2">
        <v>112</v>
      </c>
      <c r="ER2">
        <v>51</v>
      </c>
      <c r="ES2">
        <v>74</v>
      </c>
      <c r="ET2">
        <v>108</v>
      </c>
      <c r="EU2">
        <v>7.6</v>
      </c>
      <c r="EV2" t="s">
        <v>144</v>
      </c>
      <c r="EW2">
        <v>0</v>
      </c>
      <c r="EX2">
        <v>1.2</v>
      </c>
      <c r="EY2">
        <v>172.1</v>
      </c>
      <c r="EZ2">
        <v>56.1</v>
      </c>
      <c r="FA2">
        <v>14.2</v>
      </c>
      <c r="FB2">
        <v>431</v>
      </c>
      <c r="FC2">
        <v>116</v>
      </c>
      <c r="FD2">
        <v>56</v>
      </c>
      <c r="FE2">
        <v>79</v>
      </c>
      <c r="FF2">
        <v>106</v>
      </c>
      <c r="FG2">
        <v>7.5</v>
      </c>
      <c r="FH2" t="s">
        <v>144</v>
      </c>
      <c r="FI2">
        <v>0</v>
      </c>
      <c r="FJ2">
        <v>1.1000000000000001</v>
      </c>
      <c r="FK2">
        <v>179.49</v>
      </c>
      <c r="FL2">
        <v>27.27</v>
      </c>
      <c r="FM2">
        <v>101</v>
      </c>
      <c r="FN2">
        <v>245</v>
      </c>
      <c r="FO2">
        <v>120</v>
      </c>
      <c r="FP2">
        <v>58</v>
      </c>
      <c r="FQ2">
        <v>82</v>
      </c>
      <c r="FR2">
        <v>108</v>
      </c>
      <c r="FS2">
        <v>8.3000000000000007</v>
      </c>
      <c r="FT2">
        <v>50</v>
      </c>
      <c r="FU2">
        <v>0.7</v>
      </c>
      <c r="FV2">
        <v>4.5</v>
      </c>
      <c r="FW2">
        <v>13</v>
      </c>
      <c r="FX2">
        <v>0</v>
      </c>
      <c r="FY2" t="s">
        <v>144</v>
      </c>
      <c r="FZ2">
        <v>0</v>
      </c>
      <c r="GA2">
        <v>0.9</v>
      </c>
      <c r="GB2">
        <v>92.79</v>
      </c>
      <c r="GC2">
        <v>19</v>
      </c>
      <c r="GD2">
        <v>49</v>
      </c>
      <c r="GE2">
        <v>148</v>
      </c>
      <c r="GF2">
        <v>119</v>
      </c>
      <c r="GG2">
        <v>56</v>
      </c>
      <c r="GH2">
        <v>79</v>
      </c>
      <c r="GI2">
        <v>105</v>
      </c>
      <c r="GJ2">
        <v>8.3000000000000007</v>
      </c>
      <c r="GK2" t="s">
        <v>144</v>
      </c>
      <c r="GL2">
        <v>0</v>
      </c>
      <c r="GM2">
        <v>1.05</v>
      </c>
      <c r="GN2">
        <v>121.11</v>
      </c>
      <c r="GO2">
        <v>24.48</v>
      </c>
      <c r="GP2">
        <v>66</v>
      </c>
      <c r="GQ2">
        <v>183</v>
      </c>
      <c r="GR2">
        <v>116</v>
      </c>
      <c r="GS2">
        <v>55</v>
      </c>
      <c r="GT2">
        <v>78</v>
      </c>
      <c r="GU2">
        <v>103</v>
      </c>
      <c r="GV2">
        <v>8.3000000000000007</v>
      </c>
      <c r="GW2" t="s">
        <v>144</v>
      </c>
      <c r="GX2">
        <v>0</v>
      </c>
      <c r="GY2">
        <v>1.1000000000000001</v>
      </c>
      <c r="GZ2">
        <v>224.24</v>
      </c>
      <c r="HA2">
        <v>42.7</v>
      </c>
      <c r="HB2">
        <v>141.30000000000001</v>
      </c>
      <c r="HC2">
        <v>358</v>
      </c>
      <c r="HG2">
        <f t="shared" ref="HG2:HG22" si="0">EY2-EM2</f>
        <v>-2.9800000000000182</v>
      </c>
      <c r="HH2" s="16">
        <f t="shared" ref="HH2:HH22" si="1">HG2/EM2</f>
        <v>-1.7020790495773465E-2</v>
      </c>
      <c r="HI2">
        <f t="shared" ref="HI2:HI22" si="2">GB2-FK2</f>
        <v>-86.7</v>
      </c>
      <c r="HJ2" s="16">
        <f t="shared" ref="HJ2:HJ22" si="3">HI2/FK2</f>
        <v>-0.48303526658866791</v>
      </c>
      <c r="HL2" s="16">
        <f>HK2/FK2</f>
        <v>0</v>
      </c>
      <c r="HM2">
        <f>GZ2-GB2</f>
        <v>131.44999999999999</v>
      </c>
      <c r="HO2">
        <v>272868</v>
      </c>
      <c r="HP2">
        <v>5734</v>
      </c>
    </row>
    <row r="3" spans="1:226" x14ac:dyDescent="0.35">
      <c r="A3" t="s">
        <v>370</v>
      </c>
      <c r="B3" t="s">
        <v>371</v>
      </c>
      <c r="C3" s="3">
        <v>16483</v>
      </c>
      <c r="D3">
        <v>78</v>
      </c>
      <c r="F3">
        <v>173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J3" s="3">
        <v>45214</v>
      </c>
      <c r="AK3" t="s">
        <v>383</v>
      </c>
      <c r="AL3">
        <v>1</v>
      </c>
      <c r="AM3">
        <v>1</v>
      </c>
      <c r="AN3">
        <v>0</v>
      </c>
      <c r="AO3">
        <v>0</v>
      </c>
      <c r="AP3">
        <v>0</v>
      </c>
      <c r="AR3">
        <v>12</v>
      </c>
      <c r="AS3">
        <v>1</v>
      </c>
      <c r="AT3">
        <v>0</v>
      </c>
      <c r="AU3">
        <v>0</v>
      </c>
      <c r="AV3">
        <v>4</v>
      </c>
      <c r="AW3">
        <v>4</v>
      </c>
      <c r="AX3">
        <v>3</v>
      </c>
      <c r="AY3">
        <v>16.7</v>
      </c>
      <c r="AZ3">
        <v>9</v>
      </c>
      <c r="BA3">
        <v>27</v>
      </c>
      <c r="BB3">
        <v>54</v>
      </c>
      <c r="BC3">
        <v>33</v>
      </c>
      <c r="BD3">
        <v>591</v>
      </c>
      <c r="BE3">
        <v>132</v>
      </c>
      <c r="BF3">
        <v>100</v>
      </c>
      <c r="BG3">
        <v>420</v>
      </c>
      <c r="BK3">
        <v>7.33</v>
      </c>
      <c r="BL3">
        <v>119</v>
      </c>
      <c r="BM3">
        <v>40</v>
      </c>
      <c r="BN3">
        <v>21</v>
      </c>
      <c r="BO3">
        <v>1.4</v>
      </c>
      <c r="BP3">
        <v>65</v>
      </c>
      <c r="BQ3">
        <v>167</v>
      </c>
      <c r="BR3">
        <v>410</v>
      </c>
      <c r="BS3">
        <v>227</v>
      </c>
      <c r="BV3" s="3">
        <v>45216</v>
      </c>
      <c r="BW3" t="s">
        <v>384</v>
      </c>
      <c r="BY3">
        <v>11</v>
      </c>
      <c r="BZ3">
        <v>0</v>
      </c>
      <c r="CA3">
        <v>0</v>
      </c>
      <c r="CB3">
        <v>0</v>
      </c>
      <c r="CC3">
        <v>4</v>
      </c>
      <c r="CD3">
        <v>4</v>
      </c>
      <c r="CE3">
        <v>3</v>
      </c>
      <c r="CF3">
        <v>14.3</v>
      </c>
      <c r="CG3">
        <v>7.9</v>
      </c>
      <c r="CH3">
        <v>43</v>
      </c>
      <c r="CI3">
        <v>137</v>
      </c>
      <c r="CJ3">
        <v>33</v>
      </c>
      <c r="CK3">
        <v>591</v>
      </c>
      <c r="CL3">
        <v>137</v>
      </c>
      <c r="CM3">
        <v>103</v>
      </c>
      <c r="CN3">
        <v>452</v>
      </c>
      <c r="CW3">
        <v>56</v>
      </c>
      <c r="CX3">
        <v>127</v>
      </c>
      <c r="CY3">
        <v>189</v>
      </c>
      <c r="CZ3">
        <v>144</v>
      </c>
      <c r="DA3">
        <v>857</v>
      </c>
      <c r="DB3">
        <v>104</v>
      </c>
      <c r="DC3">
        <v>2</v>
      </c>
      <c r="DD3">
        <v>2</v>
      </c>
      <c r="DE3">
        <v>100</v>
      </c>
      <c r="DF3">
        <v>500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127</v>
      </c>
      <c r="DP3">
        <v>75</v>
      </c>
      <c r="DQ3">
        <v>90</v>
      </c>
      <c r="DR3">
        <v>78</v>
      </c>
      <c r="DS3">
        <v>37.1</v>
      </c>
      <c r="DT3">
        <v>1</v>
      </c>
      <c r="DU3">
        <v>0</v>
      </c>
      <c r="DV3">
        <v>0</v>
      </c>
      <c r="DW3">
        <v>0</v>
      </c>
      <c r="DX3">
        <v>0</v>
      </c>
      <c r="DY3">
        <v>2</v>
      </c>
      <c r="EL3">
        <v>2.5</v>
      </c>
      <c r="EM3">
        <v>86.68</v>
      </c>
      <c r="EQ3">
        <v>127</v>
      </c>
      <c r="ER3">
        <v>85</v>
      </c>
      <c r="ES3">
        <v>96</v>
      </c>
      <c r="ET3">
        <v>76</v>
      </c>
      <c r="EX3">
        <v>2.8</v>
      </c>
      <c r="EY3">
        <v>73.22</v>
      </c>
      <c r="FC3">
        <v>135</v>
      </c>
      <c r="FD3">
        <v>91</v>
      </c>
      <c r="FE3">
        <v>94</v>
      </c>
      <c r="FF3">
        <v>76</v>
      </c>
      <c r="FJ3">
        <v>2.1</v>
      </c>
      <c r="FK3">
        <v>105.49</v>
      </c>
      <c r="FO3">
        <v>147</v>
      </c>
      <c r="FP3">
        <v>79</v>
      </c>
      <c r="FQ3">
        <v>97</v>
      </c>
      <c r="FR3">
        <v>72</v>
      </c>
      <c r="GA3">
        <v>1.8</v>
      </c>
      <c r="GB3">
        <v>77.89</v>
      </c>
      <c r="HG3">
        <f t="shared" si="0"/>
        <v>-13.460000000000008</v>
      </c>
      <c r="HH3" s="16">
        <f t="shared" si="1"/>
        <v>-0.15528380249192439</v>
      </c>
      <c r="HI3">
        <f t="shared" si="2"/>
        <v>-27.599999999999994</v>
      </c>
      <c r="HJ3" s="16">
        <f t="shared" si="3"/>
        <v>-0.26163617404493311</v>
      </c>
      <c r="HO3">
        <v>91917</v>
      </c>
      <c r="HP3">
        <v>-90335</v>
      </c>
    </row>
    <row r="4" spans="1:226" x14ac:dyDescent="0.35">
      <c r="A4" t="s">
        <v>204</v>
      </c>
      <c r="B4" t="s">
        <v>205</v>
      </c>
      <c r="C4" s="3">
        <v>19614</v>
      </c>
      <c r="D4">
        <v>69</v>
      </c>
      <c r="E4">
        <v>101</v>
      </c>
      <c r="F4">
        <v>169</v>
      </c>
      <c r="G4">
        <v>35.4</v>
      </c>
      <c r="H4">
        <v>0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30</v>
      </c>
      <c r="AF4">
        <v>1</v>
      </c>
      <c r="AG4">
        <v>1</v>
      </c>
      <c r="AH4">
        <v>0</v>
      </c>
      <c r="AI4">
        <v>1</v>
      </c>
      <c r="AJ4" s="3">
        <v>44992</v>
      </c>
      <c r="AK4" t="s">
        <v>41</v>
      </c>
      <c r="AL4">
        <v>0</v>
      </c>
      <c r="AM4">
        <v>0</v>
      </c>
      <c r="AN4">
        <v>0</v>
      </c>
      <c r="AO4">
        <v>0</v>
      </c>
      <c r="AP4">
        <v>1</v>
      </c>
      <c r="AQ4">
        <v>65</v>
      </c>
      <c r="AR4">
        <v>10</v>
      </c>
      <c r="AS4">
        <v>4</v>
      </c>
      <c r="AT4">
        <v>2</v>
      </c>
      <c r="AU4">
        <v>3</v>
      </c>
      <c r="AV4">
        <v>1</v>
      </c>
      <c r="AW4">
        <v>0</v>
      </c>
      <c r="AX4">
        <v>0</v>
      </c>
      <c r="AY4">
        <v>16.5</v>
      </c>
      <c r="AZ4" t="s">
        <v>206</v>
      </c>
      <c r="BA4">
        <v>359</v>
      </c>
      <c r="BB4">
        <v>63</v>
      </c>
      <c r="BC4" t="s">
        <v>207</v>
      </c>
      <c r="BD4">
        <v>157</v>
      </c>
      <c r="BE4">
        <v>132</v>
      </c>
      <c r="BF4">
        <v>98</v>
      </c>
      <c r="BG4">
        <v>14</v>
      </c>
      <c r="BH4" t="s">
        <v>144</v>
      </c>
      <c r="BI4" t="s">
        <v>144</v>
      </c>
      <c r="BJ4" t="s">
        <v>144</v>
      </c>
      <c r="BK4" t="s">
        <v>208</v>
      </c>
      <c r="BL4">
        <v>209</v>
      </c>
      <c r="BM4">
        <v>29</v>
      </c>
      <c r="BN4">
        <v>20</v>
      </c>
      <c r="BO4" t="s">
        <v>209</v>
      </c>
      <c r="BP4">
        <v>94</v>
      </c>
      <c r="BQ4">
        <v>132</v>
      </c>
      <c r="BR4">
        <v>41</v>
      </c>
      <c r="BS4">
        <v>44</v>
      </c>
      <c r="BT4">
        <v>734</v>
      </c>
      <c r="BU4">
        <v>140</v>
      </c>
      <c r="BV4" s="3">
        <v>45002</v>
      </c>
      <c r="BX4">
        <v>93</v>
      </c>
      <c r="BY4">
        <v>12</v>
      </c>
      <c r="BZ4">
        <v>4</v>
      </c>
      <c r="CA4">
        <v>3</v>
      </c>
      <c r="CB4">
        <v>4</v>
      </c>
      <c r="CC4">
        <v>1</v>
      </c>
      <c r="CD4">
        <v>0</v>
      </c>
      <c r="CE4">
        <v>0</v>
      </c>
      <c r="CF4" t="s">
        <v>210</v>
      </c>
      <c r="CG4" t="s">
        <v>211</v>
      </c>
      <c r="CH4">
        <v>399</v>
      </c>
      <c r="CI4">
        <v>63</v>
      </c>
      <c r="CJ4" t="s">
        <v>212</v>
      </c>
      <c r="CK4">
        <v>118</v>
      </c>
      <c r="CL4">
        <v>141</v>
      </c>
      <c r="CM4">
        <v>110</v>
      </c>
      <c r="CN4">
        <v>12</v>
      </c>
      <c r="CO4" t="s">
        <v>144</v>
      </c>
      <c r="CP4" t="s">
        <v>144</v>
      </c>
      <c r="CQ4" t="s">
        <v>144</v>
      </c>
      <c r="CR4" t="s">
        <v>213</v>
      </c>
      <c r="CS4">
        <v>182</v>
      </c>
      <c r="CT4">
        <v>39</v>
      </c>
      <c r="CU4">
        <v>21</v>
      </c>
      <c r="CV4" t="s">
        <v>214</v>
      </c>
      <c r="CW4" t="s">
        <v>144</v>
      </c>
      <c r="CX4" t="s">
        <v>144</v>
      </c>
      <c r="CY4">
        <v>23</v>
      </c>
      <c r="CZ4">
        <v>33</v>
      </c>
      <c r="DA4" t="s">
        <v>144</v>
      </c>
      <c r="DB4" t="s">
        <v>144</v>
      </c>
      <c r="DC4">
        <v>1</v>
      </c>
      <c r="DD4">
        <v>2</v>
      </c>
      <c r="DE4">
        <v>100</v>
      </c>
      <c r="DF4">
        <v>0</v>
      </c>
      <c r="DG4">
        <v>0</v>
      </c>
      <c r="DH4" t="s">
        <v>215</v>
      </c>
      <c r="DI4">
        <v>0</v>
      </c>
      <c r="DJ4">
        <v>0</v>
      </c>
      <c r="DK4">
        <v>120</v>
      </c>
      <c r="DL4">
        <v>10</v>
      </c>
      <c r="DM4">
        <v>0</v>
      </c>
      <c r="DN4">
        <v>0</v>
      </c>
      <c r="DO4">
        <v>93</v>
      </c>
      <c r="DP4">
        <v>39</v>
      </c>
      <c r="DQ4">
        <v>55</v>
      </c>
      <c r="DR4">
        <v>88</v>
      </c>
      <c r="DS4">
        <v>37</v>
      </c>
      <c r="DT4">
        <v>0</v>
      </c>
      <c r="DU4">
        <v>0</v>
      </c>
      <c r="DV4">
        <v>1</v>
      </c>
      <c r="DW4">
        <v>10</v>
      </c>
      <c r="DX4">
        <v>100</v>
      </c>
      <c r="DY4">
        <v>60</v>
      </c>
      <c r="DZ4" t="s">
        <v>216</v>
      </c>
      <c r="EA4">
        <v>20</v>
      </c>
      <c r="EB4">
        <v>14</v>
      </c>
      <c r="EC4">
        <v>50</v>
      </c>
      <c r="ED4">
        <v>0</v>
      </c>
      <c r="EE4">
        <v>0</v>
      </c>
      <c r="EF4">
        <v>1</v>
      </c>
      <c r="EG4">
        <v>16</v>
      </c>
      <c r="EH4">
        <v>5</v>
      </c>
      <c r="EI4" t="s">
        <v>144</v>
      </c>
      <c r="EJ4" t="s">
        <v>144</v>
      </c>
      <c r="EK4">
        <v>2</v>
      </c>
      <c r="EL4" t="s">
        <v>217</v>
      </c>
      <c r="EM4">
        <v>94.17</v>
      </c>
      <c r="EN4" t="s">
        <v>218</v>
      </c>
      <c r="EO4" t="s">
        <v>219</v>
      </c>
      <c r="EP4" t="s">
        <v>220</v>
      </c>
      <c r="EQ4">
        <v>84</v>
      </c>
      <c r="ER4">
        <v>39</v>
      </c>
      <c r="ES4">
        <v>52</v>
      </c>
      <c r="ET4">
        <v>80</v>
      </c>
      <c r="EU4" t="s">
        <v>221</v>
      </c>
      <c r="EV4">
        <v>5</v>
      </c>
      <c r="EW4">
        <v>2</v>
      </c>
      <c r="EX4" t="s">
        <v>225</v>
      </c>
      <c r="EY4">
        <v>89.9</v>
      </c>
      <c r="EZ4" t="s">
        <v>222</v>
      </c>
      <c r="FA4" t="s">
        <v>223</v>
      </c>
      <c r="FB4" t="s">
        <v>224</v>
      </c>
      <c r="FC4">
        <v>102</v>
      </c>
      <c r="FD4">
        <v>48</v>
      </c>
      <c r="FE4">
        <v>65</v>
      </c>
      <c r="FF4">
        <v>80</v>
      </c>
      <c r="FG4" t="s">
        <v>226</v>
      </c>
      <c r="FH4">
        <v>5</v>
      </c>
      <c r="FI4">
        <v>2</v>
      </c>
      <c r="FJ4" t="s">
        <v>227</v>
      </c>
      <c r="FK4">
        <v>129.34</v>
      </c>
      <c r="FL4" t="s">
        <v>228</v>
      </c>
      <c r="FM4" t="s">
        <v>229</v>
      </c>
      <c r="FN4" t="s">
        <v>230</v>
      </c>
      <c r="FO4">
        <v>116</v>
      </c>
      <c r="FP4">
        <v>43</v>
      </c>
      <c r="FQ4">
        <v>67</v>
      </c>
      <c r="FR4">
        <v>78</v>
      </c>
      <c r="FS4">
        <v>4</v>
      </c>
      <c r="FY4">
        <v>5</v>
      </c>
      <c r="FZ4">
        <v>1</v>
      </c>
      <c r="GA4" t="s">
        <v>231</v>
      </c>
      <c r="GB4">
        <v>101.34</v>
      </c>
      <c r="GC4" t="s">
        <v>232</v>
      </c>
      <c r="GD4" t="s">
        <v>233</v>
      </c>
      <c r="GE4" t="s">
        <v>234</v>
      </c>
      <c r="HD4">
        <v>1</v>
      </c>
      <c r="HE4">
        <v>1</v>
      </c>
      <c r="HF4" s="3">
        <v>45028</v>
      </c>
      <c r="HG4">
        <f t="shared" si="0"/>
        <v>-4.269999999999996</v>
      </c>
      <c r="HH4" s="16">
        <f t="shared" si="1"/>
        <v>-4.5343527662737561E-2</v>
      </c>
      <c r="HI4">
        <f t="shared" si="2"/>
        <v>-28</v>
      </c>
      <c r="HJ4" s="16">
        <f t="shared" si="3"/>
        <v>-0.21648368640791713</v>
      </c>
      <c r="HL4" s="16"/>
      <c r="HO4" t="s">
        <v>387</v>
      </c>
    </row>
    <row r="5" spans="1:226" x14ac:dyDescent="0.35">
      <c r="A5" t="s">
        <v>298</v>
      </c>
      <c r="B5" t="s">
        <v>299</v>
      </c>
      <c r="C5" s="3">
        <v>22164</v>
      </c>
      <c r="D5">
        <v>62</v>
      </c>
      <c r="E5">
        <v>100</v>
      </c>
      <c r="F5">
        <v>175</v>
      </c>
      <c r="H5">
        <v>0</v>
      </c>
      <c r="I5">
        <v>1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144</v>
      </c>
      <c r="AJ5" s="3">
        <v>45117</v>
      </c>
      <c r="AK5" t="s">
        <v>301</v>
      </c>
      <c r="AL5">
        <v>1</v>
      </c>
      <c r="AM5">
        <v>0</v>
      </c>
      <c r="AN5">
        <v>1</v>
      </c>
      <c r="AO5">
        <v>0</v>
      </c>
      <c r="AP5">
        <v>0</v>
      </c>
      <c r="AQ5">
        <v>44</v>
      </c>
      <c r="AR5">
        <v>9</v>
      </c>
      <c r="AS5">
        <v>4</v>
      </c>
      <c r="AT5">
        <v>1</v>
      </c>
      <c r="AU5">
        <v>1</v>
      </c>
      <c r="AV5">
        <v>2</v>
      </c>
      <c r="AW5">
        <v>1</v>
      </c>
      <c r="AX5">
        <v>0</v>
      </c>
      <c r="AY5">
        <v>18.600000000000001</v>
      </c>
      <c r="AZ5">
        <v>8.1999999999999993</v>
      </c>
      <c r="BA5">
        <v>319</v>
      </c>
      <c r="BB5">
        <v>39</v>
      </c>
      <c r="BC5">
        <v>34.6</v>
      </c>
      <c r="BD5">
        <v>269</v>
      </c>
      <c r="BE5">
        <v>136</v>
      </c>
      <c r="BF5">
        <v>104</v>
      </c>
      <c r="BG5">
        <v>20</v>
      </c>
      <c r="BH5" t="s">
        <v>144</v>
      </c>
      <c r="BI5" t="s">
        <v>144</v>
      </c>
      <c r="BJ5" t="s">
        <v>144</v>
      </c>
      <c r="BK5">
        <v>7.33</v>
      </c>
      <c r="BL5">
        <v>384</v>
      </c>
      <c r="BM5">
        <v>31.5</v>
      </c>
      <c r="BN5">
        <v>16.7</v>
      </c>
      <c r="BO5">
        <v>3.6</v>
      </c>
      <c r="BP5">
        <v>40</v>
      </c>
      <c r="BQ5">
        <v>58</v>
      </c>
      <c r="BR5">
        <v>30</v>
      </c>
      <c r="BS5">
        <v>18</v>
      </c>
      <c r="BT5">
        <v>152</v>
      </c>
      <c r="BU5">
        <v>53</v>
      </c>
      <c r="BV5" s="3">
        <v>45119</v>
      </c>
      <c r="BW5" t="s">
        <v>294</v>
      </c>
      <c r="BX5">
        <v>101.5</v>
      </c>
      <c r="BY5">
        <v>11</v>
      </c>
      <c r="BZ5">
        <v>4</v>
      </c>
      <c r="CA5">
        <v>3</v>
      </c>
      <c r="CB5">
        <v>1</v>
      </c>
      <c r="CC5">
        <v>0</v>
      </c>
      <c r="CD5">
        <v>2</v>
      </c>
      <c r="CE5">
        <v>1</v>
      </c>
      <c r="CF5">
        <v>12.7</v>
      </c>
      <c r="CG5">
        <v>7.6</v>
      </c>
      <c r="CH5">
        <v>113</v>
      </c>
      <c r="CI5" t="s">
        <v>144</v>
      </c>
      <c r="CJ5">
        <v>15</v>
      </c>
      <c r="CK5">
        <v>77</v>
      </c>
      <c r="CL5">
        <v>144</v>
      </c>
      <c r="CM5">
        <v>115</v>
      </c>
      <c r="CN5">
        <v>50</v>
      </c>
      <c r="CO5" t="s">
        <v>282</v>
      </c>
      <c r="CP5" t="s">
        <v>282</v>
      </c>
      <c r="CQ5" t="s">
        <v>282</v>
      </c>
      <c r="CR5">
        <v>7.5</v>
      </c>
      <c r="CS5">
        <v>130</v>
      </c>
      <c r="CT5">
        <v>28</v>
      </c>
      <c r="CU5">
        <v>22</v>
      </c>
      <c r="CV5">
        <v>2.1</v>
      </c>
      <c r="CW5" t="s">
        <v>144</v>
      </c>
      <c r="CX5" t="s">
        <v>144</v>
      </c>
      <c r="CY5">
        <v>29</v>
      </c>
      <c r="CZ5">
        <v>25</v>
      </c>
      <c r="DA5">
        <v>322</v>
      </c>
      <c r="DB5">
        <v>21</v>
      </c>
      <c r="DC5" t="s">
        <v>300</v>
      </c>
      <c r="DD5">
        <v>2</v>
      </c>
      <c r="DE5">
        <v>100</v>
      </c>
      <c r="DF5">
        <v>0</v>
      </c>
      <c r="DG5">
        <v>0</v>
      </c>
      <c r="DH5">
        <v>0</v>
      </c>
      <c r="DI5">
        <v>0</v>
      </c>
      <c r="DJ5">
        <v>0</v>
      </c>
      <c r="DK5">
        <v>200</v>
      </c>
      <c r="DL5">
        <v>10</v>
      </c>
      <c r="DM5">
        <v>0</v>
      </c>
      <c r="DN5">
        <v>0</v>
      </c>
      <c r="DO5">
        <v>94</v>
      </c>
      <c r="DP5">
        <v>48</v>
      </c>
      <c r="DQ5">
        <v>61</v>
      </c>
      <c r="DR5">
        <v>108</v>
      </c>
      <c r="DS5">
        <v>39.799999999999997</v>
      </c>
      <c r="DT5">
        <v>0</v>
      </c>
      <c r="DU5">
        <v>0</v>
      </c>
      <c r="DV5">
        <v>1</v>
      </c>
      <c r="DW5">
        <v>8</v>
      </c>
      <c r="DX5">
        <v>100</v>
      </c>
      <c r="DY5">
        <v>60</v>
      </c>
      <c r="DZ5">
        <v>6.7</v>
      </c>
      <c r="EA5">
        <v>60</v>
      </c>
      <c r="EB5">
        <v>20</v>
      </c>
      <c r="EC5">
        <v>100</v>
      </c>
      <c r="ED5">
        <v>0</v>
      </c>
      <c r="EE5">
        <v>0</v>
      </c>
      <c r="EF5">
        <v>0.7</v>
      </c>
      <c r="EG5">
        <v>6.9</v>
      </c>
      <c r="EH5">
        <v>12</v>
      </c>
      <c r="EI5" t="s">
        <v>144</v>
      </c>
      <c r="EJ5" t="s">
        <v>144</v>
      </c>
      <c r="EK5">
        <v>0</v>
      </c>
      <c r="EL5">
        <v>1.65</v>
      </c>
      <c r="EM5">
        <v>150.55000000000001</v>
      </c>
      <c r="EQ5">
        <v>98</v>
      </c>
      <c r="ER5">
        <v>49</v>
      </c>
      <c r="ES5">
        <v>65</v>
      </c>
      <c r="ET5">
        <v>106</v>
      </c>
      <c r="EU5">
        <v>7</v>
      </c>
      <c r="EV5" t="s">
        <v>144</v>
      </c>
      <c r="EW5">
        <v>0</v>
      </c>
      <c r="EX5">
        <v>2.78</v>
      </c>
      <c r="EY5">
        <v>112.98</v>
      </c>
      <c r="FC5">
        <v>95</v>
      </c>
      <c r="FD5">
        <v>45</v>
      </c>
      <c r="FE5">
        <v>63</v>
      </c>
      <c r="FF5">
        <v>106</v>
      </c>
      <c r="FG5">
        <v>6</v>
      </c>
      <c r="FH5" t="s">
        <v>144</v>
      </c>
      <c r="FI5">
        <v>0</v>
      </c>
      <c r="FK5">
        <v>130.15</v>
      </c>
      <c r="FO5">
        <v>92</v>
      </c>
      <c r="FP5">
        <v>46</v>
      </c>
      <c r="FQ5">
        <v>61</v>
      </c>
      <c r="FR5">
        <v>105</v>
      </c>
      <c r="FS5">
        <v>7.2</v>
      </c>
      <c r="FY5">
        <v>8</v>
      </c>
      <c r="FZ5">
        <v>0</v>
      </c>
      <c r="GA5">
        <v>2.0499999999999998</v>
      </c>
      <c r="GB5">
        <v>125.21</v>
      </c>
      <c r="GF5">
        <v>102</v>
      </c>
      <c r="GG5">
        <v>50</v>
      </c>
      <c r="GH5">
        <v>65</v>
      </c>
      <c r="GI5">
        <v>103</v>
      </c>
      <c r="GJ5">
        <v>6.8</v>
      </c>
      <c r="GK5">
        <v>4</v>
      </c>
      <c r="GL5">
        <v>0</v>
      </c>
      <c r="GM5">
        <v>2.15</v>
      </c>
      <c r="GN5">
        <v>122.02</v>
      </c>
      <c r="GR5">
        <v>98</v>
      </c>
      <c r="GS5">
        <v>49</v>
      </c>
      <c r="GT5">
        <v>64</v>
      </c>
      <c r="GU5">
        <v>101</v>
      </c>
      <c r="GV5">
        <v>6.2</v>
      </c>
      <c r="GW5">
        <v>4</v>
      </c>
      <c r="GX5">
        <v>0</v>
      </c>
      <c r="GY5">
        <v>1.8</v>
      </c>
      <c r="GZ5">
        <v>131.30000000000001</v>
      </c>
      <c r="HG5">
        <f t="shared" si="0"/>
        <v>-37.570000000000007</v>
      </c>
      <c r="HH5" s="16">
        <f t="shared" si="1"/>
        <v>-0.24955164397210233</v>
      </c>
      <c r="HI5">
        <f t="shared" si="2"/>
        <v>-4.9400000000000119</v>
      </c>
      <c r="HJ5" s="16">
        <f t="shared" si="3"/>
        <v>-3.7956204379562132E-2</v>
      </c>
      <c r="HL5" s="16">
        <f>HK5/FK5</f>
        <v>0</v>
      </c>
      <c r="HM5">
        <f>GZ5-GB5</f>
        <v>6.0900000000000176</v>
      </c>
      <c r="HO5" t="s">
        <v>387</v>
      </c>
    </row>
    <row r="6" spans="1:226" x14ac:dyDescent="0.35">
      <c r="A6" t="s">
        <v>326</v>
      </c>
      <c r="B6" t="s">
        <v>327</v>
      </c>
      <c r="C6" s="3">
        <v>17542</v>
      </c>
      <c r="D6">
        <v>75</v>
      </c>
      <c r="E6">
        <v>58</v>
      </c>
      <c r="F6">
        <v>165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A6">
        <v>0</v>
      </c>
      <c r="AB6">
        <v>0</v>
      </c>
      <c r="AC6">
        <v>0</v>
      </c>
      <c r="AD6">
        <v>0</v>
      </c>
      <c r="AJ6" s="3">
        <v>45144</v>
      </c>
      <c r="AK6" t="s">
        <v>328</v>
      </c>
      <c r="AL6">
        <v>1</v>
      </c>
      <c r="AM6">
        <v>0</v>
      </c>
      <c r="AN6">
        <v>0</v>
      </c>
      <c r="AO6">
        <v>0</v>
      </c>
      <c r="AP6">
        <v>0</v>
      </c>
      <c r="AQ6">
        <v>38</v>
      </c>
      <c r="AR6">
        <v>7</v>
      </c>
      <c r="AS6">
        <v>1</v>
      </c>
      <c r="AT6">
        <v>2</v>
      </c>
      <c r="AU6">
        <v>3</v>
      </c>
      <c r="AV6">
        <v>0</v>
      </c>
      <c r="AW6">
        <v>1</v>
      </c>
      <c r="AX6">
        <v>0</v>
      </c>
      <c r="AY6">
        <v>8.1</v>
      </c>
      <c r="AZ6">
        <v>14.2</v>
      </c>
      <c r="BA6">
        <v>181</v>
      </c>
      <c r="BB6">
        <v>65</v>
      </c>
      <c r="BC6">
        <v>2.6</v>
      </c>
      <c r="BD6">
        <v>39</v>
      </c>
      <c r="BE6">
        <v>135</v>
      </c>
      <c r="BF6">
        <v>105</v>
      </c>
      <c r="BG6">
        <v>22</v>
      </c>
      <c r="BH6">
        <v>111</v>
      </c>
      <c r="BI6">
        <v>0.02</v>
      </c>
      <c r="BJ6" t="s">
        <v>144</v>
      </c>
      <c r="BK6">
        <v>7.46</v>
      </c>
      <c r="BL6">
        <v>93</v>
      </c>
      <c r="BM6">
        <v>33</v>
      </c>
      <c r="BN6">
        <v>24</v>
      </c>
      <c r="BO6">
        <v>0.9</v>
      </c>
      <c r="BP6">
        <v>100</v>
      </c>
      <c r="BQ6" t="s">
        <v>144</v>
      </c>
      <c r="BR6">
        <v>28</v>
      </c>
      <c r="BS6">
        <v>23</v>
      </c>
      <c r="BT6">
        <v>392</v>
      </c>
      <c r="BU6">
        <v>168</v>
      </c>
      <c r="BV6" s="3">
        <v>45145</v>
      </c>
      <c r="BW6" t="s">
        <v>199</v>
      </c>
      <c r="BX6">
        <v>58</v>
      </c>
      <c r="BY6">
        <v>8</v>
      </c>
      <c r="BZ6">
        <v>1</v>
      </c>
      <c r="CA6">
        <v>2</v>
      </c>
      <c r="CB6">
        <v>3</v>
      </c>
      <c r="CC6">
        <v>0</v>
      </c>
      <c r="CD6">
        <v>2</v>
      </c>
      <c r="CE6">
        <v>0</v>
      </c>
      <c r="CF6">
        <v>10.6</v>
      </c>
      <c r="CG6">
        <v>13.3</v>
      </c>
      <c r="CH6">
        <v>162</v>
      </c>
      <c r="CI6">
        <v>53</v>
      </c>
      <c r="CJ6">
        <v>2.7</v>
      </c>
      <c r="CK6">
        <v>36</v>
      </c>
      <c r="CL6">
        <v>135</v>
      </c>
      <c r="CM6">
        <v>105</v>
      </c>
      <c r="CN6">
        <v>40</v>
      </c>
      <c r="CP6">
        <v>0.3</v>
      </c>
      <c r="CR6">
        <v>7.4</v>
      </c>
      <c r="CS6">
        <v>93</v>
      </c>
      <c r="CT6">
        <v>33</v>
      </c>
      <c r="CU6">
        <v>24</v>
      </c>
      <c r="CV6">
        <v>0.9</v>
      </c>
      <c r="CY6">
        <v>25</v>
      </c>
      <c r="CZ6">
        <v>19</v>
      </c>
      <c r="DA6">
        <v>378</v>
      </c>
      <c r="DB6">
        <v>145</v>
      </c>
      <c r="DC6">
        <v>2</v>
      </c>
      <c r="DD6">
        <v>2</v>
      </c>
      <c r="DE6">
        <v>100</v>
      </c>
      <c r="DF6">
        <v>2500</v>
      </c>
      <c r="DG6">
        <v>0</v>
      </c>
      <c r="DH6">
        <v>0</v>
      </c>
      <c r="DI6">
        <v>0</v>
      </c>
      <c r="DJ6">
        <v>0</v>
      </c>
      <c r="DK6">
        <v>30</v>
      </c>
      <c r="DL6">
        <v>0</v>
      </c>
      <c r="DM6">
        <v>0</v>
      </c>
      <c r="DN6">
        <v>0</v>
      </c>
      <c r="DO6">
        <v>135</v>
      </c>
      <c r="DP6">
        <v>57</v>
      </c>
      <c r="DQ6">
        <v>80</v>
      </c>
      <c r="DR6">
        <v>56</v>
      </c>
      <c r="DS6">
        <v>36.799999999999997</v>
      </c>
      <c r="DT6">
        <v>0</v>
      </c>
      <c r="DU6">
        <v>0</v>
      </c>
      <c r="DV6">
        <v>1</v>
      </c>
      <c r="DW6">
        <v>8</v>
      </c>
      <c r="DX6">
        <v>30</v>
      </c>
      <c r="DY6">
        <v>60</v>
      </c>
      <c r="EK6">
        <v>3</v>
      </c>
      <c r="EL6">
        <v>5.5</v>
      </c>
      <c r="EM6">
        <v>10.32</v>
      </c>
      <c r="EN6">
        <v>3.2</v>
      </c>
      <c r="EQ6">
        <v>142</v>
      </c>
      <c r="ER6">
        <v>90</v>
      </c>
      <c r="ES6">
        <v>98</v>
      </c>
      <c r="ET6">
        <v>71</v>
      </c>
      <c r="EW6">
        <v>3</v>
      </c>
      <c r="EX6">
        <v>5.4</v>
      </c>
      <c r="EY6">
        <v>10.55</v>
      </c>
      <c r="FC6">
        <v>140</v>
      </c>
      <c r="FD6">
        <v>70</v>
      </c>
      <c r="FE6">
        <v>92</v>
      </c>
      <c r="FF6">
        <v>69</v>
      </c>
      <c r="FI6">
        <v>3</v>
      </c>
      <c r="FJ6">
        <v>5.6</v>
      </c>
      <c r="FK6">
        <v>10.16</v>
      </c>
      <c r="FO6">
        <v>138</v>
      </c>
      <c r="FP6">
        <v>64</v>
      </c>
      <c r="FQ6">
        <v>84</v>
      </c>
      <c r="FR6">
        <v>68</v>
      </c>
      <c r="FZ6">
        <v>3</v>
      </c>
      <c r="GA6">
        <v>4.5</v>
      </c>
      <c r="GB6">
        <v>10.47</v>
      </c>
      <c r="GF6">
        <v>139</v>
      </c>
      <c r="GG6">
        <v>62</v>
      </c>
      <c r="GH6">
        <v>83</v>
      </c>
      <c r="GI6">
        <v>63</v>
      </c>
      <c r="GL6">
        <v>3</v>
      </c>
      <c r="GM6">
        <v>4.8</v>
      </c>
      <c r="GN6">
        <v>11.47</v>
      </c>
      <c r="GR6">
        <v>129</v>
      </c>
      <c r="GS6">
        <v>55</v>
      </c>
      <c r="GT6">
        <v>77</v>
      </c>
      <c r="GU6">
        <v>58</v>
      </c>
      <c r="GX6">
        <v>3</v>
      </c>
      <c r="GY6">
        <v>5.5</v>
      </c>
      <c r="GZ6">
        <v>11.38</v>
      </c>
      <c r="HG6">
        <f t="shared" si="0"/>
        <v>0.23000000000000043</v>
      </c>
      <c r="HH6" s="16">
        <f t="shared" si="1"/>
        <v>2.2286821705426396E-2</v>
      </c>
      <c r="HI6">
        <f t="shared" si="2"/>
        <v>0.3100000000000005</v>
      </c>
      <c r="HJ6" s="16">
        <f t="shared" si="3"/>
        <v>3.0511811023622097E-2</v>
      </c>
      <c r="HL6" s="16">
        <f>HK6/FK6</f>
        <v>0</v>
      </c>
      <c r="HM6">
        <f>GZ6-GB6</f>
        <v>0.91000000000000014</v>
      </c>
      <c r="HO6">
        <v>27146</v>
      </c>
      <c r="HP6">
        <v>3032</v>
      </c>
    </row>
    <row r="7" spans="1:226" x14ac:dyDescent="0.35">
      <c r="A7" t="s">
        <v>346</v>
      </c>
      <c r="B7" t="s">
        <v>347</v>
      </c>
      <c r="C7" s="3">
        <v>18139</v>
      </c>
      <c r="D7">
        <v>74</v>
      </c>
      <c r="E7">
        <v>60</v>
      </c>
      <c r="F7">
        <v>177</v>
      </c>
      <c r="H7">
        <v>0</v>
      </c>
      <c r="I7">
        <v>1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0</v>
      </c>
      <c r="X7">
        <v>0</v>
      </c>
      <c r="Y7">
        <v>1</v>
      </c>
      <c r="Z7">
        <v>1</v>
      </c>
      <c r="AA7">
        <v>0</v>
      </c>
      <c r="AB7">
        <v>1</v>
      </c>
      <c r="AC7">
        <v>0</v>
      </c>
      <c r="AD7">
        <v>1</v>
      </c>
      <c r="AE7">
        <v>50</v>
      </c>
      <c r="AJ7" s="3">
        <v>45171</v>
      </c>
      <c r="AK7" t="s">
        <v>351</v>
      </c>
      <c r="AL7">
        <v>1</v>
      </c>
      <c r="AM7">
        <v>1</v>
      </c>
      <c r="AN7">
        <v>0</v>
      </c>
      <c r="AO7">
        <v>0</v>
      </c>
      <c r="AP7">
        <v>0</v>
      </c>
      <c r="AR7">
        <v>11</v>
      </c>
      <c r="AS7">
        <v>4</v>
      </c>
      <c r="AT7">
        <v>1</v>
      </c>
      <c r="AU7">
        <v>2</v>
      </c>
      <c r="AV7">
        <v>1</v>
      </c>
      <c r="AW7">
        <v>1</v>
      </c>
      <c r="AX7">
        <v>2</v>
      </c>
      <c r="AY7">
        <v>16.399999999999999</v>
      </c>
      <c r="AZ7">
        <v>11.3</v>
      </c>
      <c r="BA7">
        <v>80</v>
      </c>
      <c r="BB7">
        <v>68</v>
      </c>
      <c r="BC7">
        <v>12</v>
      </c>
      <c r="BD7">
        <v>143</v>
      </c>
      <c r="BE7">
        <v>134</v>
      </c>
      <c r="BF7">
        <v>98</v>
      </c>
      <c r="BG7">
        <v>21</v>
      </c>
      <c r="BH7">
        <v>386</v>
      </c>
      <c r="BK7">
        <v>7.5</v>
      </c>
      <c r="BL7">
        <v>77</v>
      </c>
      <c r="BM7">
        <v>28</v>
      </c>
      <c r="BN7">
        <v>22</v>
      </c>
      <c r="BO7">
        <v>2.1</v>
      </c>
      <c r="BP7">
        <v>67</v>
      </c>
      <c r="BQ7">
        <v>87</v>
      </c>
      <c r="BR7">
        <v>480</v>
      </c>
      <c r="BS7">
        <v>96</v>
      </c>
      <c r="BT7">
        <v>826</v>
      </c>
      <c r="BU7">
        <v>13761</v>
      </c>
      <c r="BV7" s="3">
        <v>45173</v>
      </c>
      <c r="BW7" t="s">
        <v>352</v>
      </c>
      <c r="BX7">
        <v>60.5</v>
      </c>
      <c r="BY7">
        <v>12</v>
      </c>
      <c r="BZ7">
        <v>4</v>
      </c>
      <c r="CA7">
        <v>1</v>
      </c>
      <c r="CB7">
        <v>1</v>
      </c>
      <c r="CC7">
        <v>3</v>
      </c>
      <c r="CD7">
        <v>1</v>
      </c>
      <c r="CE7">
        <v>2</v>
      </c>
      <c r="CF7">
        <v>17.399999999999999</v>
      </c>
      <c r="CG7">
        <v>8.3000000000000007</v>
      </c>
      <c r="CH7">
        <v>56</v>
      </c>
      <c r="CI7">
        <v>56</v>
      </c>
      <c r="CJ7">
        <v>21</v>
      </c>
      <c r="CK7">
        <v>312</v>
      </c>
      <c r="CL7">
        <v>127</v>
      </c>
      <c r="CM7">
        <v>98</v>
      </c>
      <c r="CN7">
        <v>22</v>
      </c>
      <c r="CR7">
        <v>7.33</v>
      </c>
      <c r="CS7">
        <v>77</v>
      </c>
      <c r="CT7">
        <v>41</v>
      </c>
      <c r="CU7">
        <v>20</v>
      </c>
      <c r="CV7">
        <v>1.2</v>
      </c>
      <c r="CW7">
        <v>71</v>
      </c>
      <c r="CY7">
        <v>371</v>
      </c>
      <c r="CZ7">
        <v>89</v>
      </c>
      <c r="DA7">
        <v>979</v>
      </c>
      <c r="DB7">
        <v>4698</v>
      </c>
      <c r="DC7">
        <v>1</v>
      </c>
      <c r="DD7">
        <v>2</v>
      </c>
      <c r="DE7">
        <v>1000</v>
      </c>
      <c r="DF7">
        <v>500</v>
      </c>
      <c r="DG7">
        <v>0</v>
      </c>
      <c r="DH7">
        <v>0.13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112</v>
      </c>
      <c r="DP7">
        <v>61</v>
      </c>
      <c r="DQ7">
        <v>78</v>
      </c>
      <c r="DR7">
        <v>96</v>
      </c>
      <c r="DS7">
        <v>37.200000000000003</v>
      </c>
      <c r="DT7">
        <v>1</v>
      </c>
      <c r="DU7">
        <v>0</v>
      </c>
      <c r="DV7">
        <v>0</v>
      </c>
      <c r="DW7">
        <v>0</v>
      </c>
      <c r="DX7">
        <v>60</v>
      </c>
      <c r="DY7">
        <v>50</v>
      </c>
      <c r="DZ7">
        <v>5.9</v>
      </c>
      <c r="EA7">
        <v>50</v>
      </c>
      <c r="EB7">
        <v>20</v>
      </c>
      <c r="EC7">
        <v>0</v>
      </c>
      <c r="ED7">
        <v>0</v>
      </c>
      <c r="EE7">
        <v>0</v>
      </c>
      <c r="EF7">
        <v>1.1000000000000001</v>
      </c>
      <c r="EK7">
        <v>0</v>
      </c>
      <c r="EM7">
        <v>341</v>
      </c>
      <c r="EY7">
        <v>374</v>
      </c>
      <c r="FK7">
        <v>350</v>
      </c>
      <c r="GB7">
        <v>370</v>
      </c>
      <c r="GZ7">
        <v>345</v>
      </c>
      <c r="HG7">
        <f t="shared" si="0"/>
        <v>33</v>
      </c>
      <c r="HH7" s="16">
        <f t="shared" si="1"/>
        <v>9.6774193548387094E-2</v>
      </c>
      <c r="HI7">
        <f t="shared" si="2"/>
        <v>20</v>
      </c>
      <c r="HJ7" s="16">
        <f t="shared" si="3"/>
        <v>5.7142857142857141E-2</v>
      </c>
      <c r="HK7">
        <f>GZ7-FK7</f>
        <v>-5</v>
      </c>
      <c r="HL7" s="16">
        <f>HK7/FK7</f>
        <v>-1.4285714285714285E-2</v>
      </c>
      <c r="HM7">
        <f>GZ7-GB7</f>
        <v>-25</v>
      </c>
      <c r="HO7" s="17"/>
      <c r="HP7">
        <v>17073</v>
      </c>
    </row>
    <row r="8" spans="1:226" x14ac:dyDescent="0.35">
      <c r="A8" t="s">
        <v>372</v>
      </c>
      <c r="B8" t="s">
        <v>373</v>
      </c>
      <c r="C8" s="3">
        <v>21539</v>
      </c>
      <c r="D8">
        <v>64</v>
      </c>
      <c r="F8">
        <v>160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J8" s="3">
        <v>45214</v>
      </c>
      <c r="AK8" t="s">
        <v>39</v>
      </c>
      <c r="AL8">
        <v>0</v>
      </c>
      <c r="AM8">
        <v>0</v>
      </c>
      <c r="AN8">
        <v>1</v>
      </c>
      <c r="AO8">
        <v>0</v>
      </c>
      <c r="AP8">
        <v>0</v>
      </c>
      <c r="AR8">
        <v>9</v>
      </c>
      <c r="AS8">
        <v>4</v>
      </c>
      <c r="AT8">
        <v>1</v>
      </c>
      <c r="AU8">
        <v>0</v>
      </c>
      <c r="AV8">
        <v>0</v>
      </c>
      <c r="AW8">
        <v>2</v>
      </c>
      <c r="AX8">
        <v>2</v>
      </c>
      <c r="AY8">
        <v>5.7</v>
      </c>
      <c r="AZ8">
        <v>7.3</v>
      </c>
      <c r="BA8">
        <v>68</v>
      </c>
      <c r="BB8">
        <v>52</v>
      </c>
      <c r="BC8">
        <v>6.4</v>
      </c>
      <c r="BD8">
        <v>68</v>
      </c>
      <c r="BE8">
        <v>137</v>
      </c>
      <c r="BF8">
        <v>102</v>
      </c>
      <c r="BG8">
        <v>40</v>
      </c>
      <c r="BH8">
        <v>39</v>
      </c>
      <c r="BI8">
        <v>0.2</v>
      </c>
      <c r="BJ8">
        <v>17.5</v>
      </c>
      <c r="BK8">
        <v>7.5</v>
      </c>
      <c r="BL8">
        <v>386</v>
      </c>
      <c r="BM8">
        <v>37</v>
      </c>
      <c r="BN8">
        <v>29</v>
      </c>
      <c r="BO8">
        <v>2.1</v>
      </c>
      <c r="BP8">
        <v>53</v>
      </c>
      <c r="BQ8">
        <v>62</v>
      </c>
      <c r="BR8">
        <v>28</v>
      </c>
      <c r="BS8">
        <v>16</v>
      </c>
      <c r="BT8">
        <v>419</v>
      </c>
      <c r="BU8">
        <v>58</v>
      </c>
      <c r="BV8" s="3">
        <v>45216</v>
      </c>
      <c r="BW8" t="s">
        <v>385</v>
      </c>
      <c r="BY8">
        <v>5</v>
      </c>
      <c r="BZ8">
        <v>1</v>
      </c>
      <c r="CA8">
        <v>0</v>
      </c>
      <c r="CB8">
        <v>0</v>
      </c>
      <c r="CC8">
        <v>0</v>
      </c>
      <c r="CD8">
        <v>2</v>
      </c>
      <c r="CE8">
        <v>2</v>
      </c>
      <c r="CF8">
        <v>11.15</v>
      </c>
      <c r="CG8">
        <v>7.3</v>
      </c>
      <c r="CH8">
        <v>78</v>
      </c>
      <c r="CJ8">
        <v>6.6</v>
      </c>
      <c r="CK8">
        <v>92</v>
      </c>
      <c r="CL8">
        <v>138</v>
      </c>
      <c r="CM8">
        <v>107</v>
      </c>
      <c r="CN8">
        <v>39</v>
      </c>
      <c r="CY8">
        <v>46</v>
      </c>
      <c r="CZ8">
        <v>28</v>
      </c>
      <c r="DA8">
        <v>403</v>
      </c>
      <c r="DB8">
        <v>125</v>
      </c>
      <c r="DC8">
        <v>1</v>
      </c>
      <c r="DD8">
        <v>2</v>
      </c>
      <c r="DE8">
        <v>100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102</v>
      </c>
      <c r="DP8">
        <v>48</v>
      </c>
      <c r="DQ8">
        <v>70</v>
      </c>
      <c r="DR8">
        <v>86</v>
      </c>
      <c r="DS8">
        <v>36.700000000000003</v>
      </c>
      <c r="DT8">
        <v>1</v>
      </c>
      <c r="DU8">
        <v>0</v>
      </c>
      <c r="DV8">
        <v>0</v>
      </c>
      <c r="DW8">
        <v>0</v>
      </c>
      <c r="DX8">
        <v>0</v>
      </c>
      <c r="DY8">
        <v>0</v>
      </c>
      <c r="EK8">
        <v>0</v>
      </c>
      <c r="EL8">
        <v>2.2000000000000002</v>
      </c>
      <c r="EM8">
        <v>94.01</v>
      </c>
      <c r="EQ8">
        <v>101</v>
      </c>
      <c r="ER8">
        <v>46</v>
      </c>
      <c r="ES8">
        <v>67</v>
      </c>
      <c r="ET8">
        <v>85</v>
      </c>
      <c r="EX8">
        <v>1.6</v>
      </c>
      <c r="EY8">
        <v>131.31</v>
      </c>
      <c r="FC8">
        <v>104</v>
      </c>
      <c r="FD8">
        <v>47</v>
      </c>
      <c r="FE8">
        <v>67</v>
      </c>
      <c r="FF8">
        <v>79</v>
      </c>
      <c r="FJ8">
        <v>1.8</v>
      </c>
      <c r="FK8">
        <v>111.14</v>
      </c>
      <c r="FO8">
        <v>102</v>
      </c>
      <c r="FP8">
        <v>49</v>
      </c>
      <c r="FQ8">
        <v>68</v>
      </c>
      <c r="FR8">
        <v>87</v>
      </c>
      <c r="GA8">
        <v>1.04</v>
      </c>
      <c r="GB8">
        <v>132.13999999999999</v>
      </c>
      <c r="GR8">
        <v>99</v>
      </c>
      <c r="GS8">
        <v>49</v>
      </c>
      <c r="GT8">
        <v>68</v>
      </c>
      <c r="GU8">
        <v>91</v>
      </c>
      <c r="GY8">
        <v>1.02</v>
      </c>
      <c r="GZ8">
        <v>183.76</v>
      </c>
      <c r="HG8">
        <f t="shared" si="0"/>
        <v>37.299999999999997</v>
      </c>
      <c r="HH8" s="16">
        <f t="shared" si="1"/>
        <v>0.39676630145729175</v>
      </c>
      <c r="HI8">
        <f t="shared" si="2"/>
        <v>20.999999999999986</v>
      </c>
      <c r="HJ8" s="16">
        <f t="shared" si="3"/>
        <v>0.18895087277307887</v>
      </c>
      <c r="HK8">
        <f>GZ8-FK8</f>
        <v>72.61999999999999</v>
      </c>
      <c r="HO8">
        <v>132375</v>
      </c>
      <c r="HP8">
        <v>5539</v>
      </c>
    </row>
    <row r="9" spans="1:226" x14ac:dyDescent="0.35">
      <c r="A9" s="21" t="s">
        <v>178</v>
      </c>
      <c r="B9" s="21" t="s">
        <v>146</v>
      </c>
      <c r="C9" s="22">
        <v>16224</v>
      </c>
      <c r="D9" s="21">
        <v>78</v>
      </c>
      <c r="E9" s="21">
        <v>60.8</v>
      </c>
      <c r="F9" s="21">
        <v>155</v>
      </c>
      <c r="G9" s="21">
        <v>25.3</v>
      </c>
      <c r="H9" s="21">
        <v>1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 t="s">
        <v>179</v>
      </c>
      <c r="AB9" s="21">
        <v>0</v>
      </c>
      <c r="AC9" s="21">
        <v>0</v>
      </c>
      <c r="AD9" s="21">
        <v>0</v>
      </c>
      <c r="AE9" s="21" t="s">
        <v>176</v>
      </c>
      <c r="AF9" s="21">
        <v>0</v>
      </c>
      <c r="AG9" s="21">
        <v>0</v>
      </c>
      <c r="AH9" s="21">
        <v>0</v>
      </c>
      <c r="AI9" s="21">
        <v>0</v>
      </c>
      <c r="AJ9" s="22">
        <v>44968</v>
      </c>
      <c r="AK9" s="21" t="s">
        <v>180</v>
      </c>
      <c r="AL9" s="21">
        <v>1</v>
      </c>
      <c r="AM9" s="21">
        <v>1</v>
      </c>
      <c r="AN9" s="21">
        <v>0</v>
      </c>
      <c r="AO9" s="21">
        <v>0</v>
      </c>
      <c r="AP9" s="21">
        <v>0</v>
      </c>
      <c r="AQ9" s="21">
        <v>38</v>
      </c>
      <c r="AR9" s="21">
        <v>6</v>
      </c>
      <c r="AS9" s="21">
        <v>4</v>
      </c>
      <c r="AT9" s="21">
        <v>0</v>
      </c>
      <c r="AU9" s="21">
        <v>0</v>
      </c>
      <c r="AV9" s="21">
        <v>2</v>
      </c>
      <c r="AW9" s="21">
        <v>0</v>
      </c>
      <c r="AX9" s="21">
        <v>0</v>
      </c>
      <c r="AY9" s="21">
        <v>29.72</v>
      </c>
      <c r="AZ9" s="21">
        <v>15.2</v>
      </c>
      <c r="BA9" s="21">
        <v>368</v>
      </c>
      <c r="BB9" s="21">
        <v>64</v>
      </c>
      <c r="BC9" s="21">
        <v>17</v>
      </c>
      <c r="BD9" s="21">
        <v>237</v>
      </c>
      <c r="BE9" s="21">
        <v>135</v>
      </c>
      <c r="BF9" s="21">
        <v>98</v>
      </c>
      <c r="BG9" s="21" t="s">
        <v>144</v>
      </c>
      <c r="BH9" s="21">
        <v>346</v>
      </c>
      <c r="BI9" s="21">
        <v>39.200000000000003</v>
      </c>
      <c r="BJ9" s="21">
        <v>21</v>
      </c>
      <c r="BK9" s="21">
        <v>7.48</v>
      </c>
      <c r="BL9" s="21">
        <v>93</v>
      </c>
      <c r="BM9" s="21">
        <v>24</v>
      </c>
      <c r="BN9" s="21">
        <v>18</v>
      </c>
      <c r="BO9" s="21">
        <v>3.8</v>
      </c>
      <c r="BP9" s="21" t="s">
        <v>144</v>
      </c>
      <c r="BQ9" s="21" t="s">
        <v>144</v>
      </c>
      <c r="BR9" s="21">
        <v>51</v>
      </c>
      <c r="BS9" s="21">
        <v>35</v>
      </c>
      <c r="BT9" s="21" t="s">
        <v>144</v>
      </c>
      <c r="BU9" s="21">
        <v>253</v>
      </c>
      <c r="BV9" s="22">
        <v>44970</v>
      </c>
      <c r="BW9" s="21" t="s">
        <v>181</v>
      </c>
      <c r="BX9" s="21">
        <v>61</v>
      </c>
      <c r="BY9" s="21">
        <v>7</v>
      </c>
      <c r="BZ9" s="21">
        <v>4</v>
      </c>
      <c r="CA9" s="21">
        <v>0</v>
      </c>
      <c r="CB9" s="21">
        <v>0</v>
      </c>
      <c r="CC9" s="21">
        <v>2</v>
      </c>
      <c r="CD9" s="21">
        <v>1</v>
      </c>
      <c r="CE9" s="21">
        <v>0</v>
      </c>
      <c r="CF9" s="21">
        <v>31.48</v>
      </c>
      <c r="CG9" s="21">
        <v>12.3</v>
      </c>
      <c r="CH9" s="21">
        <v>228</v>
      </c>
      <c r="CI9" s="21">
        <v>55</v>
      </c>
      <c r="CJ9" s="21">
        <v>26.6</v>
      </c>
      <c r="CK9" s="21">
        <v>284</v>
      </c>
      <c r="CL9" s="21">
        <v>138</v>
      </c>
      <c r="CM9" s="21">
        <v>102</v>
      </c>
      <c r="CN9" s="21">
        <v>20</v>
      </c>
      <c r="CO9" s="21" t="s">
        <v>144</v>
      </c>
      <c r="CP9" s="21" t="s">
        <v>144</v>
      </c>
      <c r="CQ9" s="21">
        <v>21</v>
      </c>
      <c r="CR9" s="21">
        <v>7.38</v>
      </c>
      <c r="CS9" s="21">
        <v>88</v>
      </c>
      <c r="CT9" s="21">
        <v>29</v>
      </c>
      <c r="CU9" s="21">
        <v>17</v>
      </c>
      <c r="CV9" s="21">
        <v>2.2000000000000002</v>
      </c>
      <c r="CW9" s="21">
        <v>42</v>
      </c>
      <c r="CX9" s="21">
        <v>37</v>
      </c>
      <c r="CY9" s="21">
        <v>2776</v>
      </c>
      <c r="CZ9" s="21">
        <v>1254</v>
      </c>
      <c r="DA9" s="21">
        <v>3537</v>
      </c>
      <c r="DB9" s="21">
        <v>324</v>
      </c>
      <c r="DC9" s="21" t="s">
        <v>182</v>
      </c>
      <c r="DD9" s="21">
        <v>2</v>
      </c>
      <c r="DE9" s="21">
        <v>100</v>
      </c>
      <c r="DF9" s="21">
        <v>3000</v>
      </c>
      <c r="DG9" s="21">
        <v>0</v>
      </c>
      <c r="DH9" s="21">
        <v>0.1</v>
      </c>
      <c r="DI9" s="21">
        <v>0</v>
      </c>
      <c r="DJ9" s="21">
        <v>0</v>
      </c>
      <c r="DK9" s="21">
        <v>0</v>
      </c>
      <c r="DL9" s="21">
        <v>0</v>
      </c>
      <c r="DM9" s="21">
        <v>0</v>
      </c>
      <c r="DN9" s="21">
        <v>0</v>
      </c>
      <c r="DO9" s="21">
        <v>125</v>
      </c>
      <c r="DP9" s="21">
        <v>58</v>
      </c>
      <c r="DQ9" s="21">
        <v>75</v>
      </c>
      <c r="DR9" s="21">
        <v>145</v>
      </c>
      <c r="DS9" s="21">
        <v>36.200000000000003</v>
      </c>
      <c r="DT9" s="21">
        <v>1</v>
      </c>
      <c r="DU9" s="21">
        <v>0</v>
      </c>
      <c r="DV9" s="21">
        <v>0</v>
      </c>
      <c r="DW9" s="21" t="s">
        <v>176</v>
      </c>
      <c r="DX9" s="21" t="s">
        <v>176</v>
      </c>
      <c r="DY9" s="21">
        <v>2</v>
      </c>
      <c r="DZ9" s="21">
        <v>3.7</v>
      </c>
      <c r="EA9" s="21">
        <v>50</v>
      </c>
      <c r="EB9" s="21">
        <v>15</v>
      </c>
      <c r="EC9" s="21">
        <v>0</v>
      </c>
      <c r="ED9" s="21">
        <v>0</v>
      </c>
      <c r="EE9" s="21">
        <v>0</v>
      </c>
      <c r="EF9" s="21" t="s">
        <v>176</v>
      </c>
      <c r="EG9" s="21" t="s">
        <v>176</v>
      </c>
      <c r="EH9" s="21" t="s">
        <v>176</v>
      </c>
      <c r="EI9" s="21" t="s">
        <v>176</v>
      </c>
      <c r="EJ9" s="21" t="s">
        <v>176</v>
      </c>
      <c r="EK9" s="21">
        <v>1</v>
      </c>
      <c r="EL9" s="21">
        <v>5.01</v>
      </c>
      <c r="EM9" s="21">
        <v>23.68</v>
      </c>
      <c r="EN9" s="21">
        <v>6.07</v>
      </c>
      <c r="EO9" s="21">
        <v>12.73</v>
      </c>
      <c r="EP9" s="21">
        <v>51.97</v>
      </c>
      <c r="EQ9" s="21">
        <v>115</v>
      </c>
      <c r="ER9" s="21">
        <v>55</v>
      </c>
      <c r="ES9" s="21">
        <v>67</v>
      </c>
      <c r="ET9" s="21">
        <v>160</v>
      </c>
      <c r="EU9" s="21">
        <v>4.8</v>
      </c>
      <c r="EV9" s="21" t="s">
        <v>144</v>
      </c>
      <c r="EW9" s="21">
        <v>0</v>
      </c>
      <c r="EX9" s="21">
        <v>2.25</v>
      </c>
      <c r="EY9" s="21">
        <v>55.07</v>
      </c>
      <c r="EZ9" s="21">
        <v>35.04</v>
      </c>
      <c r="FA9" s="21">
        <v>23.62</v>
      </c>
      <c r="FB9" s="21">
        <v>62.79</v>
      </c>
      <c r="FC9" s="21">
        <v>117</v>
      </c>
      <c r="FD9" s="21">
        <v>55</v>
      </c>
      <c r="FE9" s="21">
        <v>66</v>
      </c>
      <c r="FF9" s="21">
        <v>165</v>
      </c>
      <c r="FG9" s="21">
        <v>3.9</v>
      </c>
      <c r="FH9" s="21" t="s">
        <v>144</v>
      </c>
      <c r="FI9" s="21">
        <v>1</v>
      </c>
      <c r="FJ9" s="21">
        <v>3.21</v>
      </c>
      <c r="FK9" s="21">
        <v>37.57</v>
      </c>
      <c r="FL9" s="21">
        <v>28.45</v>
      </c>
      <c r="FM9" s="21">
        <v>13.46</v>
      </c>
      <c r="FN9" s="21">
        <v>260.99</v>
      </c>
      <c r="FO9" s="21">
        <v>106</v>
      </c>
      <c r="FP9" s="21">
        <v>50</v>
      </c>
      <c r="FQ9" s="21">
        <v>62</v>
      </c>
      <c r="FR9" s="21">
        <v>153</v>
      </c>
      <c r="FS9" s="21">
        <v>4.7</v>
      </c>
      <c r="FT9" s="21"/>
      <c r="FU9" s="21"/>
      <c r="FV9" s="21"/>
      <c r="FW9" s="21"/>
      <c r="FX9" s="21"/>
      <c r="FY9" s="21" t="s">
        <v>144</v>
      </c>
      <c r="FZ9" s="21">
        <v>0</v>
      </c>
      <c r="GA9" s="21">
        <v>2.5499999999999998</v>
      </c>
      <c r="GB9" s="21">
        <v>47.32</v>
      </c>
      <c r="GC9" s="21">
        <v>11.77</v>
      </c>
      <c r="GD9" s="21">
        <v>27.56</v>
      </c>
      <c r="GE9" s="21">
        <v>110.78</v>
      </c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>
        <f t="shared" si="0"/>
        <v>31.39</v>
      </c>
      <c r="HH9" s="23">
        <f t="shared" si="1"/>
        <v>1.3255912162162162</v>
      </c>
      <c r="HI9" s="21">
        <f t="shared" si="2"/>
        <v>9.75</v>
      </c>
      <c r="HJ9" s="23">
        <f t="shared" si="3"/>
        <v>0.25951557093425603</v>
      </c>
      <c r="HL9" s="23"/>
      <c r="HM9" s="21"/>
      <c r="HN9" s="21"/>
      <c r="HO9" t="s">
        <v>387</v>
      </c>
    </row>
    <row r="10" spans="1:226" x14ac:dyDescent="0.35">
      <c r="A10" t="s">
        <v>357</v>
      </c>
      <c r="B10" t="s">
        <v>358</v>
      </c>
      <c r="C10" s="3">
        <v>16733</v>
      </c>
      <c r="D10">
        <v>77</v>
      </c>
      <c r="E10">
        <v>55</v>
      </c>
      <c r="F10">
        <v>169</v>
      </c>
      <c r="H10">
        <v>0</v>
      </c>
      <c r="I10">
        <v>1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1</v>
      </c>
      <c r="AC10">
        <v>1</v>
      </c>
      <c r="AD10">
        <v>0</v>
      </c>
      <c r="AJ10" s="3">
        <v>45181</v>
      </c>
      <c r="AK10" t="s">
        <v>359</v>
      </c>
      <c r="AL10">
        <v>1</v>
      </c>
      <c r="AM10">
        <v>0</v>
      </c>
      <c r="AN10">
        <v>0</v>
      </c>
      <c r="AO10">
        <v>0</v>
      </c>
      <c r="AP10">
        <v>0</v>
      </c>
      <c r="AR10">
        <v>8</v>
      </c>
      <c r="AS10">
        <v>4</v>
      </c>
      <c r="AT10">
        <v>0</v>
      </c>
      <c r="AU10">
        <v>2</v>
      </c>
      <c r="AV10">
        <v>2</v>
      </c>
      <c r="AW10">
        <v>0</v>
      </c>
      <c r="AX10">
        <v>0</v>
      </c>
      <c r="AY10">
        <v>7.6</v>
      </c>
      <c r="AZ10">
        <v>11.1</v>
      </c>
      <c r="BA10">
        <v>329</v>
      </c>
      <c r="BB10">
        <v>76</v>
      </c>
      <c r="BC10">
        <v>12</v>
      </c>
      <c r="BD10">
        <v>267</v>
      </c>
      <c r="BE10">
        <v>132</v>
      </c>
      <c r="BF10">
        <v>97</v>
      </c>
      <c r="BG10">
        <v>11</v>
      </c>
      <c r="BH10">
        <v>288</v>
      </c>
      <c r="BK10">
        <v>7.45</v>
      </c>
      <c r="BL10">
        <v>84</v>
      </c>
      <c r="BM10">
        <v>25</v>
      </c>
      <c r="BN10">
        <v>17</v>
      </c>
      <c r="BO10">
        <v>5.0999999999999996</v>
      </c>
      <c r="BR10">
        <v>26</v>
      </c>
      <c r="BS10">
        <v>16</v>
      </c>
      <c r="BV10" s="3">
        <v>45181</v>
      </c>
      <c r="BW10" t="s">
        <v>360</v>
      </c>
      <c r="BX10">
        <v>77</v>
      </c>
      <c r="BY10">
        <v>8</v>
      </c>
      <c r="BZ10">
        <v>4</v>
      </c>
      <c r="CA10">
        <v>0</v>
      </c>
      <c r="CB10">
        <v>2</v>
      </c>
      <c r="CC10">
        <v>2</v>
      </c>
      <c r="CD10">
        <v>0</v>
      </c>
      <c r="CE10">
        <v>0</v>
      </c>
      <c r="CF10">
        <v>7.6</v>
      </c>
      <c r="CG10">
        <v>11.1</v>
      </c>
      <c r="CH10">
        <v>329</v>
      </c>
      <c r="CI10">
        <v>76</v>
      </c>
      <c r="CJ10">
        <v>12</v>
      </c>
      <c r="CK10">
        <v>267</v>
      </c>
      <c r="CL10">
        <v>132</v>
      </c>
      <c r="CM10">
        <v>97</v>
      </c>
      <c r="CN10">
        <v>11</v>
      </c>
      <c r="CO10">
        <v>288</v>
      </c>
      <c r="CR10">
        <v>7.45</v>
      </c>
      <c r="CS10">
        <v>84</v>
      </c>
      <c r="CT10">
        <v>25</v>
      </c>
      <c r="CU10">
        <v>17</v>
      </c>
      <c r="CV10">
        <v>5.0999999999999996</v>
      </c>
      <c r="CY10">
        <v>26</v>
      </c>
      <c r="CZ10">
        <v>16</v>
      </c>
      <c r="DC10">
        <v>3</v>
      </c>
      <c r="DD10">
        <v>2</v>
      </c>
      <c r="DE10">
        <v>100</v>
      </c>
      <c r="DF10">
        <v>500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107</v>
      </c>
      <c r="DP10">
        <v>59</v>
      </c>
      <c r="DQ10">
        <v>77</v>
      </c>
      <c r="DR10">
        <v>105</v>
      </c>
      <c r="DS10">
        <v>37.4</v>
      </c>
      <c r="DT10">
        <v>1</v>
      </c>
      <c r="DU10">
        <v>0</v>
      </c>
      <c r="DV10">
        <v>0</v>
      </c>
      <c r="DW10">
        <v>0</v>
      </c>
      <c r="DY10">
        <v>2</v>
      </c>
      <c r="EL10">
        <v>4.0999999999999996</v>
      </c>
      <c r="EM10">
        <v>44.3</v>
      </c>
      <c r="EQ10">
        <v>110</v>
      </c>
      <c r="ER10">
        <v>65</v>
      </c>
      <c r="ES10">
        <v>83</v>
      </c>
      <c r="ET10">
        <v>105</v>
      </c>
      <c r="EX10">
        <v>3.9</v>
      </c>
      <c r="EY10">
        <v>46.86</v>
      </c>
      <c r="FC10">
        <v>106</v>
      </c>
      <c r="FD10">
        <v>59</v>
      </c>
      <c r="FE10">
        <v>76</v>
      </c>
      <c r="FF10">
        <v>107</v>
      </c>
      <c r="FJ10">
        <v>4.8</v>
      </c>
      <c r="FK10">
        <v>33.81</v>
      </c>
      <c r="FO10">
        <v>101</v>
      </c>
      <c r="FP10">
        <v>55</v>
      </c>
      <c r="FQ10">
        <v>73</v>
      </c>
      <c r="FR10">
        <v>103</v>
      </c>
      <c r="GA10">
        <v>3.7</v>
      </c>
      <c r="GB10">
        <v>45.33</v>
      </c>
      <c r="HG10">
        <f t="shared" si="0"/>
        <v>2.5600000000000023</v>
      </c>
      <c r="HH10" s="16">
        <f t="shared" si="1"/>
        <v>5.778781038374723E-2</v>
      </c>
      <c r="HI10">
        <f t="shared" si="2"/>
        <v>11.519999999999996</v>
      </c>
      <c r="HJ10" s="16">
        <f t="shared" si="3"/>
        <v>0.34072759538598035</v>
      </c>
      <c r="HO10">
        <v>81239</v>
      </c>
      <c r="HP10">
        <v>26897</v>
      </c>
    </row>
    <row r="11" spans="1:226" x14ac:dyDescent="0.35">
      <c r="A11" t="s">
        <v>329</v>
      </c>
      <c r="B11" t="s">
        <v>330</v>
      </c>
      <c r="C11" s="3">
        <v>17333</v>
      </c>
      <c r="D11">
        <v>76</v>
      </c>
      <c r="E11">
        <v>113.5</v>
      </c>
      <c r="F11">
        <v>175</v>
      </c>
      <c r="H11">
        <v>0</v>
      </c>
      <c r="I11">
        <v>1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144</v>
      </c>
      <c r="AJ11" s="3">
        <v>45141</v>
      </c>
      <c r="AK11" t="s">
        <v>38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63</v>
      </c>
      <c r="AR11">
        <v>11</v>
      </c>
      <c r="AS11">
        <v>4</v>
      </c>
      <c r="AT11">
        <v>0</v>
      </c>
      <c r="AU11">
        <v>1</v>
      </c>
      <c r="AV11">
        <v>3</v>
      </c>
      <c r="AW11">
        <v>0</v>
      </c>
      <c r="AX11">
        <v>3</v>
      </c>
      <c r="AY11">
        <v>8.6</v>
      </c>
      <c r="AZ11">
        <v>11.8</v>
      </c>
      <c r="BA11">
        <v>30</v>
      </c>
      <c r="BB11">
        <v>49</v>
      </c>
      <c r="BC11">
        <v>29</v>
      </c>
      <c r="BD11">
        <v>437</v>
      </c>
      <c r="BE11">
        <v>140</v>
      </c>
      <c r="BF11">
        <v>109</v>
      </c>
      <c r="BG11">
        <v>7</v>
      </c>
      <c r="BH11">
        <v>168</v>
      </c>
      <c r="BJ11">
        <v>17.600000000000001</v>
      </c>
      <c r="BK11">
        <v>7.36</v>
      </c>
      <c r="BL11">
        <v>76</v>
      </c>
      <c r="BM11">
        <v>17</v>
      </c>
      <c r="BN11">
        <v>10</v>
      </c>
      <c r="BO11">
        <v>3.8</v>
      </c>
      <c r="BP11">
        <v>57</v>
      </c>
      <c r="BQ11">
        <v>53</v>
      </c>
      <c r="BR11">
        <v>29</v>
      </c>
      <c r="BS11">
        <v>18</v>
      </c>
      <c r="BT11">
        <v>729</v>
      </c>
      <c r="BU11">
        <v>41</v>
      </c>
      <c r="BV11" s="3">
        <v>45142</v>
      </c>
      <c r="BW11" t="s">
        <v>331</v>
      </c>
      <c r="BX11">
        <v>113.5</v>
      </c>
      <c r="BY11">
        <v>13</v>
      </c>
      <c r="BZ11">
        <v>4</v>
      </c>
      <c r="CA11">
        <v>0</v>
      </c>
      <c r="CB11">
        <v>2</v>
      </c>
      <c r="CC11">
        <v>4</v>
      </c>
      <c r="CD11">
        <v>0</v>
      </c>
      <c r="CE11">
        <v>3</v>
      </c>
      <c r="CF11">
        <v>21.3</v>
      </c>
      <c r="CG11">
        <v>11.6</v>
      </c>
      <c r="CH11">
        <v>52</v>
      </c>
      <c r="CI11">
        <v>43</v>
      </c>
      <c r="CJ11">
        <v>20</v>
      </c>
      <c r="CK11">
        <v>325</v>
      </c>
      <c r="CL11">
        <v>141</v>
      </c>
      <c r="CM11">
        <v>105</v>
      </c>
      <c r="CN11">
        <v>8</v>
      </c>
      <c r="CO11">
        <v>123</v>
      </c>
      <c r="CP11">
        <v>15</v>
      </c>
      <c r="CR11">
        <v>6.92</v>
      </c>
      <c r="CS11">
        <v>166</v>
      </c>
      <c r="CT11">
        <v>42</v>
      </c>
      <c r="CU11">
        <v>10</v>
      </c>
      <c r="CV11">
        <v>18.600000000000001</v>
      </c>
      <c r="CY11">
        <v>25</v>
      </c>
      <c r="CZ11">
        <v>18</v>
      </c>
      <c r="DA11">
        <v>781</v>
      </c>
      <c r="DB11">
        <v>38</v>
      </c>
      <c r="DC11">
        <v>1</v>
      </c>
      <c r="DD11">
        <v>2</v>
      </c>
      <c r="DE11">
        <v>100</v>
      </c>
      <c r="DF11">
        <v>1000</v>
      </c>
      <c r="DG11">
        <v>0</v>
      </c>
      <c r="DH11">
        <v>0.4</v>
      </c>
      <c r="DI11">
        <v>0</v>
      </c>
      <c r="DJ11">
        <v>0</v>
      </c>
      <c r="DK11">
        <v>80</v>
      </c>
      <c r="DL11">
        <v>5</v>
      </c>
      <c r="DM11">
        <v>0</v>
      </c>
      <c r="DN11">
        <v>0</v>
      </c>
      <c r="DO11">
        <v>93</v>
      </c>
      <c r="DP11">
        <v>46</v>
      </c>
      <c r="DQ11">
        <v>62</v>
      </c>
      <c r="DR11">
        <v>79</v>
      </c>
      <c r="DS11">
        <v>37.1</v>
      </c>
      <c r="DT11">
        <v>0</v>
      </c>
      <c r="DU11">
        <v>0</v>
      </c>
      <c r="DV11">
        <v>1</v>
      </c>
      <c r="DW11">
        <v>8</v>
      </c>
      <c r="DX11">
        <v>40</v>
      </c>
      <c r="DY11">
        <v>60</v>
      </c>
      <c r="DZ11">
        <v>4.0999999999999996</v>
      </c>
      <c r="EA11">
        <v>50</v>
      </c>
      <c r="EB11">
        <v>20</v>
      </c>
      <c r="EC11">
        <v>0</v>
      </c>
      <c r="ED11">
        <v>0</v>
      </c>
      <c r="EE11">
        <v>0</v>
      </c>
      <c r="EF11">
        <v>0.9</v>
      </c>
      <c r="EG11">
        <v>6</v>
      </c>
      <c r="EH11">
        <v>5</v>
      </c>
      <c r="EK11">
        <v>0</v>
      </c>
      <c r="EL11">
        <v>2.4</v>
      </c>
      <c r="EM11">
        <v>44.42</v>
      </c>
      <c r="EN11">
        <v>7.39</v>
      </c>
      <c r="EQ11">
        <v>128</v>
      </c>
      <c r="ER11">
        <v>47</v>
      </c>
      <c r="ES11">
        <v>67</v>
      </c>
      <c r="ET11">
        <v>79</v>
      </c>
      <c r="EU11">
        <v>5.4</v>
      </c>
      <c r="EV11">
        <v>5</v>
      </c>
      <c r="EW11">
        <v>0</v>
      </c>
      <c r="EX11">
        <v>1.7</v>
      </c>
      <c r="EY11">
        <v>56.28</v>
      </c>
      <c r="FC11">
        <v>106</v>
      </c>
      <c r="FD11">
        <v>51</v>
      </c>
      <c r="FE11">
        <v>67</v>
      </c>
      <c r="FF11">
        <v>91</v>
      </c>
      <c r="FG11">
        <v>5.2</v>
      </c>
      <c r="FH11">
        <v>5</v>
      </c>
      <c r="FI11">
        <v>0</v>
      </c>
      <c r="FJ11">
        <v>2.35</v>
      </c>
      <c r="FK11">
        <v>35.950000000000003</v>
      </c>
      <c r="FO11">
        <v>116</v>
      </c>
      <c r="FP11">
        <v>46</v>
      </c>
      <c r="FQ11">
        <v>64</v>
      </c>
      <c r="FR11">
        <v>80</v>
      </c>
      <c r="FS11">
        <v>5.0999999999999996</v>
      </c>
      <c r="FY11">
        <v>5</v>
      </c>
      <c r="FZ11">
        <v>0</v>
      </c>
      <c r="GA11">
        <v>2.2999999999999998</v>
      </c>
      <c r="GB11">
        <v>49.9</v>
      </c>
      <c r="GC11">
        <v>13.6</v>
      </c>
      <c r="GF11">
        <v>114</v>
      </c>
      <c r="GG11">
        <v>50</v>
      </c>
      <c r="GH11">
        <v>68</v>
      </c>
      <c r="GI11">
        <v>78</v>
      </c>
      <c r="GK11">
        <v>5</v>
      </c>
      <c r="GL11">
        <v>0</v>
      </c>
      <c r="GM11">
        <v>2.9</v>
      </c>
      <c r="GN11">
        <v>40.200000000000003</v>
      </c>
      <c r="GR11">
        <v>99</v>
      </c>
      <c r="GS11">
        <v>52</v>
      </c>
      <c r="GT11">
        <v>66</v>
      </c>
      <c r="GU11">
        <v>85</v>
      </c>
      <c r="GX11">
        <v>0</v>
      </c>
      <c r="GY11">
        <v>3.1</v>
      </c>
      <c r="GZ11">
        <v>30.43</v>
      </c>
      <c r="HG11">
        <f t="shared" si="0"/>
        <v>11.86</v>
      </c>
      <c r="HH11" s="16">
        <f t="shared" si="1"/>
        <v>0.26699684826654657</v>
      </c>
      <c r="HI11">
        <f t="shared" si="2"/>
        <v>13.949999999999996</v>
      </c>
      <c r="HJ11" s="16">
        <f t="shared" si="3"/>
        <v>0.38803894297635588</v>
      </c>
      <c r="HL11" s="16">
        <f>HK11/FK11</f>
        <v>0</v>
      </c>
      <c r="HM11">
        <f>GZ11-GB11</f>
        <v>-19.47</v>
      </c>
      <c r="HO11">
        <v>77778</v>
      </c>
      <c r="HP11">
        <v>18264</v>
      </c>
    </row>
    <row r="12" spans="1:226" x14ac:dyDescent="0.35">
      <c r="A12" t="s">
        <v>235</v>
      </c>
      <c r="B12" t="s">
        <v>236</v>
      </c>
      <c r="C12" s="3">
        <v>20460</v>
      </c>
      <c r="D12">
        <v>67</v>
      </c>
      <c r="E12">
        <v>75</v>
      </c>
      <c r="F12">
        <v>164</v>
      </c>
      <c r="G12">
        <v>27.9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144</v>
      </c>
      <c r="AF12">
        <v>0</v>
      </c>
      <c r="AG12">
        <v>0</v>
      </c>
      <c r="AH12">
        <v>0</v>
      </c>
      <c r="AI12">
        <v>0</v>
      </c>
      <c r="AJ12" s="3">
        <v>45005</v>
      </c>
      <c r="AK12" t="s">
        <v>38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87</v>
      </c>
      <c r="AR12">
        <v>10</v>
      </c>
      <c r="AS12">
        <v>4</v>
      </c>
      <c r="AT12">
        <v>0</v>
      </c>
      <c r="AU12">
        <v>3</v>
      </c>
      <c r="AV12">
        <v>4</v>
      </c>
      <c r="AW12">
        <v>0</v>
      </c>
      <c r="AX12">
        <v>0</v>
      </c>
      <c r="AY12">
        <v>22.92</v>
      </c>
      <c r="AZ12">
        <v>11.2</v>
      </c>
      <c r="BA12">
        <v>486</v>
      </c>
      <c r="BB12">
        <v>61</v>
      </c>
      <c r="BC12">
        <v>28</v>
      </c>
      <c r="BD12">
        <v>482</v>
      </c>
      <c r="BE12">
        <v>131</v>
      </c>
      <c r="BF12">
        <v>92</v>
      </c>
      <c r="BG12">
        <v>5</v>
      </c>
      <c r="BH12" t="s">
        <v>144</v>
      </c>
      <c r="BI12" t="s">
        <v>144</v>
      </c>
      <c r="BJ12" t="s">
        <v>144</v>
      </c>
      <c r="BK12">
        <v>7.07</v>
      </c>
      <c r="BL12">
        <v>397</v>
      </c>
      <c r="BM12">
        <v>31</v>
      </c>
      <c r="BN12">
        <v>8</v>
      </c>
      <c r="BO12">
        <v>15.9</v>
      </c>
      <c r="BP12">
        <v>55</v>
      </c>
      <c r="BQ12">
        <v>80</v>
      </c>
      <c r="BR12">
        <v>55</v>
      </c>
      <c r="BS12">
        <v>28</v>
      </c>
      <c r="BT12">
        <v>911</v>
      </c>
      <c r="BU12">
        <v>613</v>
      </c>
      <c r="BV12" s="3">
        <v>45005</v>
      </c>
      <c r="BW12" t="s">
        <v>237</v>
      </c>
      <c r="BX12">
        <v>75</v>
      </c>
      <c r="BY12">
        <v>10</v>
      </c>
      <c r="BZ12">
        <v>4</v>
      </c>
      <c r="CA12">
        <v>0</v>
      </c>
      <c r="CB12">
        <v>3</v>
      </c>
      <c r="CC12">
        <v>4</v>
      </c>
      <c r="CD12">
        <v>0</v>
      </c>
      <c r="CE12">
        <v>0</v>
      </c>
      <c r="CF12">
        <v>22.92</v>
      </c>
      <c r="CG12">
        <v>11.2</v>
      </c>
      <c r="CH12">
        <v>486</v>
      </c>
      <c r="CI12">
        <v>61</v>
      </c>
      <c r="CJ12">
        <v>28</v>
      </c>
      <c r="CK12">
        <v>482</v>
      </c>
      <c r="CL12">
        <v>131</v>
      </c>
      <c r="CM12">
        <v>92</v>
      </c>
      <c r="CN12">
        <v>5</v>
      </c>
      <c r="CO12" t="s">
        <v>144</v>
      </c>
      <c r="CP12" t="s">
        <v>144</v>
      </c>
      <c r="CQ12" t="s">
        <v>144</v>
      </c>
      <c r="CR12">
        <v>7.07</v>
      </c>
      <c r="CS12">
        <v>397</v>
      </c>
      <c r="CT12">
        <v>31</v>
      </c>
      <c r="CU12">
        <v>8</v>
      </c>
      <c r="CV12">
        <v>15.9</v>
      </c>
      <c r="CW12">
        <v>55</v>
      </c>
      <c r="CX12">
        <v>80</v>
      </c>
      <c r="CY12">
        <v>55</v>
      </c>
      <c r="CZ12">
        <v>28</v>
      </c>
      <c r="DA12">
        <v>911</v>
      </c>
      <c r="DB12">
        <v>613</v>
      </c>
      <c r="DC12">
        <v>1</v>
      </c>
      <c r="DD12">
        <v>2</v>
      </c>
      <c r="DE12">
        <v>100</v>
      </c>
      <c r="DF12">
        <v>1000</v>
      </c>
      <c r="DG12">
        <v>0</v>
      </c>
      <c r="DH12" t="s">
        <v>238</v>
      </c>
      <c r="DI12">
        <v>0</v>
      </c>
      <c r="DJ12">
        <v>0</v>
      </c>
      <c r="DK12">
        <v>0</v>
      </c>
      <c r="DL12">
        <v>3</v>
      </c>
      <c r="DM12">
        <v>0</v>
      </c>
      <c r="DN12">
        <v>0</v>
      </c>
      <c r="DO12">
        <v>135</v>
      </c>
      <c r="DP12">
        <v>56</v>
      </c>
      <c r="DQ12">
        <v>72</v>
      </c>
      <c r="DR12">
        <v>121</v>
      </c>
      <c r="DS12" t="s">
        <v>239</v>
      </c>
      <c r="DT12">
        <v>0</v>
      </c>
      <c r="DU12">
        <v>1</v>
      </c>
      <c r="DV12">
        <v>0</v>
      </c>
      <c r="DW12">
        <v>4</v>
      </c>
      <c r="DX12">
        <v>30</v>
      </c>
      <c r="DY12">
        <v>60</v>
      </c>
      <c r="DZ12" t="s">
        <v>240</v>
      </c>
      <c r="EA12">
        <v>50</v>
      </c>
      <c r="EB12">
        <v>12</v>
      </c>
      <c r="EC12">
        <v>50</v>
      </c>
      <c r="ED12">
        <v>1</v>
      </c>
      <c r="EE12">
        <v>0</v>
      </c>
      <c r="EF12" t="s">
        <v>241</v>
      </c>
      <c r="EG12" t="s">
        <v>242</v>
      </c>
      <c r="EH12" t="s">
        <v>144</v>
      </c>
      <c r="EI12" t="s">
        <v>144</v>
      </c>
      <c r="EJ12" t="s">
        <v>144</v>
      </c>
      <c r="EK12">
        <v>1</v>
      </c>
      <c r="EL12" t="s">
        <v>243</v>
      </c>
      <c r="EM12">
        <v>12.3</v>
      </c>
      <c r="EN12" t="s">
        <v>244</v>
      </c>
      <c r="EO12" t="s">
        <v>245</v>
      </c>
      <c r="EP12" t="s">
        <v>246</v>
      </c>
      <c r="EQ12">
        <v>120</v>
      </c>
      <c r="ER12">
        <v>64</v>
      </c>
      <c r="ES12">
        <v>77</v>
      </c>
      <c r="ET12">
        <v>120</v>
      </c>
      <c r="EU12" t="s">
        <v>247</v>
      </c>
      <c r="EV12" t="s">
        <v>144</v>
      </c>
      <c r="EW12">
        <v>1</v>
      </c>
      <c r="EX12" t="s">
        <v>217</v>
      </c>
      <c r="EY12">
        <v>15.3</v>
      </c>
      <c r="FC12">
        <v>127</v>
      </c>
      <c r="FD12">
        <v>53</v>
      </c>
      <c r="FE12">
        <v>70</v>
      </c>
      <c r="FF12">
        <v>119</v>
      </c>
      <c r="FG12">
        <v>4</v>
      </c>
      <c r="FH12" t="s">
        <v>144</v>
      </c>
      <c r="FI12">
        <v>1</v>
      </c>
      <c r="FJ12" t="s">
        <v>248</v>
      </c>
      <c r="FK12">
        <v>9.9</v>
      </c>
      <c r="FL12" t="s">
        <v>249</v>
      </c>
      <c r="FM12" t="s">
        <v>250</v>
      </c>
      <c r="FN12" t="s">
        <v>251</v>
      </c>
      <c r="FO12">
        <v>115</v>
      </c>
      <c r="FP12">
        <v>52</v>
      </c>
      <c r="FQ12">
        <v>69</v>
      </c>
      <c r="FR12">
        <v>117</v>
      </c>
      <c r="FS12" t="s">
        <v>242</v>
      </c>
      <c r="FY12">
        <v>5</v>
      </c>
      <c r="FZ12">
        <v>1</v>
      </c>
      <c r="GA12" t="s">
        <v>252</v>
      </c>
      <c r="GB12">
        <v>14.2</v>
      </c>
      <c r="GC12" t="s">
        <v>227</v>
      </c>
      <c r="GD12" t="s">
        <v>253</v>
      </c>
      <c r="GE12" t="s">
        <v>254</v>
      </c>
      <c r="HD12">
        <v>1</v>
      </c>
      <c r="HE12">
        <v>1</v>
      </c>
      <c r="HF12" s="3">
        <v>45028</v>
      </c>
      <c r="HG12">
        <f t="shared" si="0"/>
        <v>3</v>
      </c>
      <c r="HH12" s="16">
        <f t="shared" si="1"/>
        <v>0.24390243902439024</v>
      </c>
      <c r="HI12">
        <f t="shared" si="2"/>
        <v>4.2999999999999989</v>
      </c>
      <c r="HJ12" s="16">
        <f t="shared" si="3"/>
        <v>0.4343434343434342</v>
      </c>
      <c r="HL12" s="16"/>
      <c r="HO12">
        <v>26212</v>
      </c>
      <c r="HP12">
        <v>6076</v>
      </c>
    </row>
    <row r="13" spans="1:226" x14ac:dyDescent="0.35">
      <c r="A13" t="s">
        <v>142</v>
      </c>
      <c r="B13" t="s">
        <v>143</v>
      </c>
      <c r="C13" s="3">
        <v>26819</v>
      </c>
      <c r="D13">
        <v>49</v>
      </c>
      <c r="E13">
        <v>55</v>
      </c>
      <c r="F13">
        <v>161</v>
      </c>
      <c r="G13">
        <v>21.2</v>
      </c>
      <c r="H13">
        <v>0</v>
      </c>
      <c r="I13">
        <v>1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144</v>
      </c>
      <c r="AF13">
        <v>0</v>
      </c>
      <c r="AG13">
        <v>0</v>
      </c>
      <c r="AH13">
        <v>0</v>
      </c>
      <c r="AI13">
        <v>0</v>
      </c>
      <c r="AJ13" s="3">
        <v>44957</v>
      </c>
      <c r="AK13" t="s">
        <v>172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15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8.1</v>
      </c>
      <c r="AZ13">
        <v>8.3000000000000007</v>
      </c>
      <c r="BA13">
        <v>547</v>
      </c>
      <c r="BB13">
        <v>73</v>
      </c>
      <c r="BC13">
        <v>3.9</v>
      </c>
      <c r="BD13">
        <v>48</v>
      </c>
      <c r="BE13">
        <v>129</v>
      </c>
      <c r="BF13">
        <v>98</v>
      </c>
      <c r="BG13">
        <v>23</v>
      </c>
      <c r="BH13">
        <v>102</v>
      </c>
      <c r="BI13" t="s">
        <v>144</v>
      </c>
      <c r="BJ13" t="s">
        <v>144</v>
      </c>
      <c r="BK13" t="s">
        <v>144</v>
      </c>
      <c r="BL13" t="s">
        <v>144</v>
      </c>
      <c r="BM13" t="s">
        <v>144</v>
      </c>
      <c r="BN13">
        <v>24</v>
      </c>
      <c r="BO13" t="s">
        <v>144</v>
      </c>
      <c r="BP13">
        <v>78</v>
      </c>
      <c r="BQ13">
        <v>76</v>
      </c>
      <c r="BR13">
        <v>45</v>
      </c>
      <c r="BS13">
        <v>41</v>
      </c>
      <c r="BT13">
        <v>436</v>
      </c>
      <c r="BU13">
        <v>84</v>
      </c>
      <c r="BV13" s="3">
        <v>44958</v>
      </c>
      <c r="BW13" t="s">
        <v>173</v>
      </c>
      <c r="BX13">
        <v>55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26.55</v>
      </c>
      <c r="CG13">
        <v>7.6</v>
      </c>
      <c r="CH13">
        <v>629</v>
      </c>
      <c r="CI13">
        <v>79</v>
      </c>
      <c r="CJ13">
        <v>4.4000000000000004</v>
      </c>
      <c r="CK13">
        <v>46</v>
      </c>
      <c r="CL13">
        <v>131</v>
      </c>
      <c r="CM13">
        <v>99</v>
      </c>
      <c r="CN13">
        <v>30</v>
      </c>
      <c r="CO13">
        <v>102</v>
      </c>
      <c r="CP13" t="s">
        <v>144</v>
      </c>
      <c r="CQ13">
        <v>16.7</v>
      </c>
      <c r="CR13">
        <v>7.39</v>
      </c>
      <c r="CS13">
        <v>84</v>
      </c>
      <c r="CT13">
        <v>33</v>
      </c>
      <c r="CU13">
        <v>20</v>
      </c>
      <c r="CV13">
        <v>2.4</v>
      </c>
      <c r="CW13">
        <v>72</v>
      </c>
      <c r="CX13" t="s">
        <v>144</v>
      </c>
      <c r="CY13">
        <v>62</v>
      </c>
      <c r="CZ13">
        <v>37</v>
      </c>
      <c r="DA13">
        <v>576</v>
      </c>
      <c r="DB13">
        <v>1416</v>
      </c>
      <c r="DC13">
        <v>3</v>
      </c>
      <c r="DD13">
        <v>2</v>
      </c>
      <c r="DE13">
        <v>100</v>
      </c>
      <c r="DF13">
        <v>2250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151</v>
      </c>
      <c r="DP13">
        <v>91</v>
      </c>
      <c r="DQ13">
        <v>108</v>
      </c>
      <c r="DR13">
        <v>134</v>
      </c>
      <c r="DS13">
        <v>36.799999999999997</v>
      </c>
      <c r="DT13">
        <v>1</v>
      </c>
      <c r="DU13">
        <v>0</v>
      </c>
      <c r="DV13">
        <v>0</v>
      </c>
      <c r="DW13" t="s">
        <v>176</v>
      </c>
      <c r="DX13" t="s">
        <v>176</v>
      </c>
      <c r="DY13">
        <v>0</v>
      </c>
      <c r="DZ13">
        <v>6.1</v>
      </c>
      <c r="EA13">
        <v>60</v>
      </c>
      <c r="EB13">
        <v>9</v>
      </c>
      <c r="EC13">
        <v>50</v>
      </c>
      <c r="ED13">
        <v>0</v>
      </c>
      <c r="EE13">
        <v>0</v>
      </c>
      <c r="EF13">
        <v>0.8</v>
      </c>
      <c r="EG13">
        <v>7.2</v>
      </c>
      <c r="EH13" t="s">
        <v>144</v>
      </c>
      <c r="EI13" t="s">
        <v>144</v>
      </c>
      <c r="EJ13" t="s">
        <v>144</v>
      </c>
      <c r="EK13">
        <v>1</v>
      </c>
      <c r="EL13">
        <v>2.29</v>
      </c>
      <c r="EM13">
        <v>29.24</v>
      </c>
      <c r="EN13">
        <v>3.93</v>
      </c>
      <c r="EO13">
        <v>24.23</v>
      </c>
      <c r="EP13">
        <v>53.04</v>
      </c>
      <c r="EQ13">
        <v>150</v>
      </c>
      <c r="ER13">
        <v>88</v>
      </c>
      <c r="ES13">
        <v>109</v>
      </c>
      <c r="ET13">
        <v>134</v>
      </c>
      <c r="EU13">
        <v>7.1</v>
      </c>
      <c r="EV13" t="s">
        <v>144</v>
      </c>
      <c r="EW13">
        <v>1</v>
      </c>
      <c r="EX13">
        <v>2.19</v>
      </c>
      <c r="EY13">
        <v>35.119999999999997</v>
      </c>
      <c r="EZ13">
        <v>3.48</v>
      </c>
      <c r="FA13">
        <v>26.89</v>
      </c>
      <c r="FB13">
        <v>54.57</v>
      </c>
      <c r="FC13">
        <v>162</v>
      </c>
      <c r="FD13">
        <v>101</v>
      </c>
      <c r="FE13">
        <v>121</v>
      </c>
      <c r="FF13">
        <v>135</v>
      </c>
      <c r="FG13">
        <v>6.1</v>
      </c>
      <c r="FH13" t="s">
        <v>144</v>
      </c>
      <c r="FI13">
        <v>1</v>
      </c>
      <c r="FJ13">
        <v>2.25</v>
      </c>
      <c r="FK13">
        <v>34.57</v>
      </c>
      <c r="FL13">
        <v>4.92</v>
      </c>
      <c r="FM13">
        <v>27.44</v>
      </c>
      <c r="FN13">
        <v>67.319999999999993</v>
      </c>
      <c r="FO13">
        <v>163</v>
      </c>
      <c r="FP13">
        <v>98</v>
      </c>
      <c r="FQ13">
        <v>116</v>
      </c>
      <c r="FR13">
        <v>133</v>
      </c>
      <c r="FS13">
        <v>5.9</v>
      </c>
      <c r="FY13" t="s">
        <v>144</v>
      </c>
      <c r="FZ13">
        <v>0</v>
      </c>
      <c r="GA13">
        <v>2.12</v>
      </c>
      <c r="GB13">
        <v>53.32</v>
      </c>
      <c r="GC13">
        <v>2.92</v>
      </c>
      <c r="GD13">
        <v>46.02</v>
      </c>
      <c r="GE13">
        <v>68.88</v>
      </c>
      <c r="HG13">
        <f t="shared" si="0"/>
        <v>5.879999999999999</v>
      </c>
      <c r="HH13" s="16">
        <f t="shared" si="1"/>
        <v>0.20109439124487002</v>
      </c>
      <c r="HI13">
        <f t="shared" si="2"/>
        <v>18.75</v>
      </c>
      <c r="HJ13" s="16">
        <f t="shared" si="3"/>
        <v>0.54237778420595895</v>
      </c>
      <c r="HL13" s="16"/>
      <c r="HO13" t="s">
        <v>387</v>
      </c>
    </row>
    <row r="14" spans="1:226" x14ac:dyDescent="0.35">
      <c r="A14" s="4" t="s">
        <v>309</v>
      </c>
      <c r="B14" s="4" t="s">
        <v>310</v>
      </c>
      <c r="C14" s="24">
        <v>29207</v>
      </c>
      <c r="D14" s="4">
        <v>43</v>
      </c>
      <c r="E14" s="4">
        <v>81</v>
      </c>
      <c r="F14" s="4">
        <v>160</v>
      </c>
      <c r="G14" s="4"/>
      <c r="H14" s="4">
        <v>1</v>
      </c>
      <c r="I14" s="4">
        <v>0</v>
      </c>
      <c r="J14" s="4">
        <v>0</v>
      </c>
      <c r="K14" s="4">
        <v>0</v>
      </c>
      <c r="L14" s="4">
        <v>1</v>
      </c>
      <c r="M14" s="4">
        <v>0</v>
      </c>
      <c r="N14" s="4">
        <v>0</v>
      </c>
      <c r="O14" s="4">
        <v>0</v>
      </c>
      <c r="P14" s="4">
        <v>0</v>
      </c>
      <c r="Q14" s="4">
        <v>1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0</v>
      </c>
      <c r="Z14" s="4">
        <v>0</v>
      </c>
      <c r="AA14" s="4" t="s">
        <v>311</v>
      </c>
      <c r="AB14" s="4">
        <v>0</v>
      </c>
      <c r="AC14" s="4">
        <v>0</v>
      </c>
      <c r="AD14" s="4">
        <v>0</v>
      </c>
      <c r="AE14" s="4" t="s">
        <v>144</v>
      </c>
      <c r="AF14" s="4"/>
      <c r="AG14" s="4"/>
      <c r="AH14" s="4"/>
      <c r="AI14" s="4"/>
      <c r="AJ14" s="24">
        <v>45134</v>
      </c>
      <c r="AK14" s="4" t="s">
        <v>297</v>
      </c>
      <c r="AL14" s="4">
        <v>1</v>
      </c>
      <c r="AM14" s="4">
        <v>1</v>
      </c>
      <c r="AN14" s="4">
        <v>0</v>
      </c>
      <c r="AO14" s="4">
        <v>0</v>
      </c>
      <c r="AP14" s="4">
        <v>0</v>
      </c>
      <c r="AQ14" s="4"/>
      <c r="AR14" s="4">
        <v>11</v>
      </c>
      <c r="AS14" s="4">
        <v>4</v>
      </c>
      <c r="AT14" s="4">
        <v>0</v>
      </c>
      <c r="AU14" s="4">
        <v>4</v>
      </c>
      <c r="AV14" s="4">
        <v>3</v>
      </c>
      <c r="AW14" s="4">
        <v>0</v>
      </c>
      <c r="AX14" s="4">
        <v>0</v>
      </c>
      <c r="AY14" s="4">
        <v>10.15</v>
      </c>
      <c r="AZ14" s="4">
        <v>9.1</v>
      </c>
      <c r="BA14" s="4">
        <v>191</v>
      </c>
      <c r="BB14" s="4">
        <v>45</v>
      </c>
      <c r="BC14" s="4">
        <v>32.700000000000003</v>
      </c>
      <c r="BD14" s="4">
        <v>387</v>
      </c>
      <c r="BE14" s="4">
        <v>132</v>
      </c>
      <c r="BF14" s="4">
        <v>104</v>
      </c>
      <c r="BG14" s="4">
        <v>7</v>
      </c>
      <c r="BH14" s="4">
        <v>35</v>
      </c>
      <c r="BI14" s="4">
        <v>4</v>
      </c>
      <c r="BJ14" s="4">
        <v>22.8</v>
      </c>
      <c r="BK14" s="4">
        <v>7.15</v>
      </c>
      <c r="BL14" s="4">
        <v>226</v>
      </c>
      <c r="BM14" s="4">
        <v>20</v>
      </c>
      <c r="BN14" s="4">
        <v>8</v>
      </c>
      <c r="BO14" s="4">
        <v>1.9</v>
      </c>
      <c r="BP14" s="4">
        <v>70</v>
      </c>
      <c r="BQ14" s="4">
        <v>181</v>
      </c>
      <c r="BR14" s="4">
        <v>25</v>
      </c>
      <c r="BS14" s="4">
        <v>52</v>
      </c>
      <c r="BT14" s="4">
        <v>1031</v>
      </c>
      <c r="BU14" s="4">
        <v>38</v>
      </c>
      <c r="BV14" s="24">
        <v>45139</v>
      </c>
      <c r="BW14" s="4"/>
      <c r="BX14" s="4">
        <v>92</v>
      </c>
      <c r="BY14" s="4">
        <v>10</v>
      </c>
      <c r="BZ14" s="4">
        <v>1</v>
      </c>
      <c r="CA14" s="4">
        <v>0</v>
      </c>
      <c r="CB14" s="4">
        <v>4</v>
      </c>
      <c r="CC14" s="4">
        <v>2</v>
      </c>
      <c r="CD14" s="4">
        <v>0</v>
      </c>
      <c r="CE14" s="4">
        <v>3</v>
      </c>
      <c r="CF14" s="4">
        <v>3.22</v>
      </c>
      <c r="CG14" s="4">
        <v>9.1</v>
      </c>
      <c r="CH14" s="4">
        <v>37</v>
      </c>
      <c r="CI14" s="4">
        <v>94</v>
      </c>
      <c r="CJ14" s="4">
        <v>21</v>
      </c>
      <c r="CK14" s="4">
        <v>237</v>
      </c>
      <c r="CL14" s="4">
        <v>138</v>
      </c>
      <c r="CM14" s="4">
        <v>112</v>
      </c>
      <c r="CN14" s="4">
        <v>7</v>
      </c>
      <c r="CO14" s="4" t="s">
        <v>282</v>
      </c>
      <c r="CP14" s="4" t="s">
        <v>282</v>
      </c>
      <c r="CQ14" s="4" t="s">
        <v>282</v>
      </c>
      <c r="CR14" s="4">
        <v>7.06</v>
      </c>
      <c r="CS14" s="4">
        <v>115</v>
      </c>
      <c r="CT14" s="4">
        <v>20</v>
      </c>
      <c r="CU14" s="4">
        <v>6</v>
      </c>
      <c r="CV14" s="4">
        <v>0.8</v>
      </c>
      <c r="CW14" s="4">
        <v>70</v>
      </c>
      <c r="CX14" s="4">
        <v>181</v>
      </c>
      <c r="CY14" s="4">
        <v>47</v>
      </c>
      <c r="CZ14" s="4">
        <v>48</v>
      </c>
      <c r="DA14" s="4">
        <v>2862</v>
      </c>
      <c r="DB14" s="4">
        <v>252</v>
      </c>
      <c r="DC14" s="4">
        <v>1</v>
      </c>
      <c r="DD14" s="4">
        <v>2</v>
      </c>
      <c r="DE14" s="4">
        <v>100</v>
      </c>
      <c r="DF14" s="4">
        <v>1500</v>
      </c>
      <c r="DG14" s="4">
        <v>4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82</v>
      </c>
      <c r="DP14" s="4">
        <v>55</v>
      </c>
      <c r="DQ14" s="4">
        <v>64</v>
      </c>
      <c r="DR14" s="4">
        <v>75</v>
      </c>
      <c r="DS14" s="4">
        <v>33.799999999999997</v>
      </c>
      <c r="DT14" s="4">
        <v>0</v>
      </c>
      <c r="DU14" s="4">
        <v>1</v>
      </c>
      <c r="DV14" s="4">
        <v>0</v>
      </c>
      <c r="DW14" s="4">
        <v>6</v>
      </c>
      <c r="DX14" s="4">
        <v>25</v>
      </c>
      <c r="DY14" s="4">
        <v>60</v>
      </c>
      <c r="DZ14" s="4">
        <v>5</v>
      </c>
      <c r="EA14" s="4">
        <v>50</v>
      </c>
      <c r="EB14" s="4">
        <v>13</v>
      </c>
      <c r="EC14" s="4">
        <v>100</v>
      </c>
      <c r="ED14" s="4">
        <v>0</v>
      </c>
      <c r="EE14" s="4">
        <v>0</v>
      </c>
      <c r="EF14" s="4">
        <v>1.2</v>
      </c>
      <c r="EG14" s="4">
        <v>4.8</v>
      </c>
      <c r="EH14" s="4" t="s">
        <v>144</v>
      </c>
      <c r="EI14" s="4" t="s">
        <v>144</v>
      </c>
      <c r="EJ14" s="4" t="s">
        <v>144</v>
      </c>
      <c r="EK14" s="4" t="s">
        <v>144</v>
      </c>
      <c r="EL14" s="4">
        <v>1.1000000000000001</v>
      </c>
      <c r="EM14" s="4">
        <v>577.9</v>
      </c>
      <c r="EN14" s="4">
        <v>39.1</v>
      </c>
      <c r="EO14" s="4">
        <v>468.9</v>
      </c>
      <c r="EP14" s="4">
        <v>669.9</v>
      </c>
      <c r="EQ14" s="4">
        <v>80</v>
      </c>
      <c r="ER14" s="4">
        <v>53</v>
      </c>
      <c r="ES14" s="4">
        <v>62</v>
      </c>
      <c r="ET14" s="4">
        <v>76</v>
      </c>
      <c r="EU14" s="4">
        <v>6.3</v>
      </c>
      <c r="EV14" s="4" t="s">
        <v>144</v>
      </c>
      <c r="EW14" s="4" t="s">
        <v>144</v>
      </c>
      <c r="EX14" s="4">
        <v>0.8</v>
      </c>
      <c r="EY14" s="4">
        <v>670.3</v>
      </c>
      <c r="EZ14" s="4"/>
      <c r="FA14" s="4"/>
      <c r="FB14" s="4"/>
      <c r="FC14" s="4">
        <v>83</v>
      </c>
      <c r="FD14" s="4">
        <v>49</v>
      </c>
      <c r="FE14" s="4">
        <v>60</v>
      </c>
      <c r="FF14" s="4">
        <v>76</v>
      </c>
      <c r="FG14" s="4">
        <v>5.3</v>
      </c>
      <c r="FH14" s="4" t="s">
        <v>144</v>
      </c>
      <c r="FI14" s="4" t="s">
        <v>144</v>
      </c>
      <c r="FJ14" s="4">
        <v>1.1000000000000001</v>
      </c>
      <c r="FK14" s="4">
        <v>589.5</v>
      </c>
      <c r="FL14" s="4"/>
      <c r="FM14" s="4"/>
      <c r="FN14" s="4"/>
      <c r="FO14" s="4">
        <v>81</v>
      </c>
      <c r="FP14" s="4">
        <v>53</v>
      </c>
      <c r="FQ14" s="4">
        <v>62</v>
      </c>
      <c r="FR14" s="4">
        <v>75</v>
      </c>
      <c r="FS14" s="4">
        <v>6.3</v>
      </c>
      <c r="FT14" s="4">
        <v>50</v>
      </c>
      <c r="FU14" s="4">
        <v>1.2</v>
      </c>
      <c r="FV14" s="4"/>
      <c r="FW14" s="4">
        <v>15</v>
      </c>
      <c r="FX14" s="4">
        <v>50</v>
      </c>
      <c r="FY14" s="4" t="s">
        <v>144</v>
      </c>
      <c r="FZ14" s="4" t="s">
        <v>144</v>
      </c>
      <c r="GA14" s="4">
        <v>0.4</v>
      </c>
      <c r="GB14" s="4">
        <v>930.87</v>
      </c>
      <c r="GC14" s="4"/>
      <c r="GD14" s="4"/>
      <c r="GE14" s="4"/>
      <c r="GF14" s="4">
        <v>93</v>
      </c>
      <c r="GG14" s="4">
        <v>71</v>
      </c>
      <c r="GH14" s="4">
        <v>80</v>
      </c>
      <c r="GI14" s="4">
        <v>76</v>
      </c>
      <c r="GJ14" s="4">
        <v>6</v>
      </c>
      <c r="GK14" s="4" t="s">
        <v>144</v>
      </c>
      <c r="GL14" s="4" t="s">
        <v>144</v>
      </c>
      <c r="GM14" s="4">
        <v>0.6</v>
      </c>
      <c r="GN14" s="4">
        <v>995.82</v>
      </c>
      <c r="GO14" s="4"/>
      <c r="GP14" s="4"/>
      <c r="GQ14" s="4"/>
      <c r="GR14" s="4">
        <v>92</v>
      </c>
      <c r="GS14" s="4">
        <v>62</v>
      </c>
      <c r="GT14" s="4">
        <v>73</v>
      </c>
      <c r="GU14" s="4">
        <v>78</v>
      </c>
      <c r="GV14" s="4">
        <v>5.8</v>
      </c>
      <c r="GW14" s="4" t="s">
        <v>144</v>
      </c>
      <c r="GX14" s="4" t="s">
        <v>144</v>
      </c>
      <c r="GY14" s="4">
        <v>0.6</v>
      </c>
      <c r="GZ14" s="4">
        <v>998.59</v>
      </c>
      <c r="HA14" s="4"/>
      <c r="HB14" s="4"/>
      <c r="HC14" s="4"/>
      <c r="HD14" s="4"/>
      <c r="HE14" s="4"/>
      <c r="HF14" s="4"/>
      <c r="HG14" s="4">
        <f t="shared" si="0"/>
        <v>92.399999999999977</v>
      </c>
      <c r="HH14" s="25">
        <f t="shared" si="1"/>
        <v>0.15988925419622768</v>
      </c>
      <c r="HI14" s="4">
        <f t="shared" si="2"/>
        <v>341.37</v>
      </c>
      <c r="HJ14" s="25">
        <f t="shared" si="3"/>
        <v>0.57908396946564888</v>
      </c>
      <c r="HK14" s="4">
        <f>GZ14-FK14</f>
        <v>409.09000000000003</v>
      </c>
      <c r="HL14" s="25">
        <f>HK14/FK14</f>
        <v>0.69396098388464811</v>
      </c>
      <c r="HM14" s="4">
        <f>GZ14-GB14</f>
        <v>67.720000000000027</v>
      </c>
      <c r="HN14" s="4"/>
      <c r="HO14" s="4">
        <v>1607979</v>
      </c>
      <c r="HP14" s="4">
        <v>630433</v>
      </c>
      <c r="HQ14" s="4"/>
      <c r="HR14" s="4"/>
    </row>
    <row r="15" spans="1:226" x14ac:dyDescent="0.35">
      <c r="A15" t="s">
        <v>322</v>
      </c>
      <c r="B15" t="s">
        <v>323</v>
      </c>
      <c r="C15" s="3">
        <v>16157</v>
      </c>
      <c r="D15">
        <v>79</v>
      </c>
      <c r="E15">
        <v>53</v>
      </c>
      <c r="F15">
        <v>170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 t="s">
        <v>144</v>
      </c>
      <c r="AJ15" s="3">
        <v>45138</v>
      </c>
      <c r="AK15" t="s">
        <v>40</v>
      </c>
      <c r="AL15">
        <v>0</v>
      </c>
      <c r="AM15">
        <v>0</v>
      </c>
      <c r="AN15">
        <v>0</v>
      </c>
      <c r="AO15">
        <v>1</v>
      </c>
      <c r="AP15">
        <v>0</v>
      </c>
      <c r="AR15">
        <v>4</v>
      </c>
      <c r="AS15">
        <v>1</v>
      </c>
      <c r="AT15">
        <v>0</v>
      </c>
      <c r="AU15">
        <v>0</v>
      </c>
      <c r="AV15">
        <v>0</v>
      </c>
      <c r="AW15">
        <v>1</v>
      </c>
      <c r="AX15">
        <v>2</v>
      </c>
      <c r="AY15">
        <v>0.75</v>
      </c>
      <c r="AZ15">
        <v>7.4</v>
      </c>
      <c r="BA15">
        <v>62</v>
      </c>
      <c r="BB15">
        <v>53</v>
      </c>
      <c r="BC15">
        <v>5</v>
      </c>
      <c r="BD15">
        <v>61</v>
      </c>
      <c r="BE15">
        <v>133</v>
      </c>
      <c r="BF15">
        <v>100</v>
      </c>
      <c r="BG15">
        <v>20</v>
      </c>
      <c r="BH15">
        <v>59</v>
      </c>
      <c r="BI15">
        <v>0.11</v>
      </c>
      <c r="BJ15">
        <v>27.4</v>
      </c>
      <c r="BK15">
        <v>7.49</v>
      </c>
      <c r="BL15">
        <v>105</v>
      </c>
      <c r="BM15">
        <v>30</v>
      </c>
      <c r="BN15">
        <v>23</v>
      </c>
      <c r="BO15">
        <v>0.8</v>
      </c>
      <c r="BR15">
        <v>18</v>
      </c>
      <c r="BS15">
        <v>29</v>
      </c>
      <c r="BT15">
        <v>452</v>
      </c>
      <c r="BU15">
        <v>32</v>
      </c>
      <c r="BV15" s="3">
        <v>45138</v>
      </c>
      <c r="BW15" t="s">
        <v>318</v>
      </c>
      <c r="BX15">
        <v>53</v>
      </c>
      <c r="BY15">
        <v>4</v>
      </c>
      <c r="BZ15">
        <v>1</v>
      </c>
      <c r="CA15">
        <v>0</v>
      </c>
      <c r="CB15">
        <v>0</v>
      </c>
      <c r="CC15">
        <v>0</v>
      </c>
      <c r="CD15">
        <v>1</v>
      </c>
      <c r="CE15">
        <v>2</v>
      </c>
      <c r="CF15">
        <v>0.75</v>
      </c>
      <c r="CG15">
        <v>7.4</v>
      </c>
      <c r="CH15">
        <v>62</v>
      </c>
      <c r="CI15">
        <v>53</v>
      </c>
      <c r="CJ15">
        <v>5</v>
      </c>
      <c r="CK15">
        <v>61</v>
      </c>
      <c r="CL15">
        <v>133</v>
      </c>
      <c r="CM15">
        <v>100</v>
      </c>
      <c r="CN15">
        <v>20</v>
      </c>
      <c r="CO15">
        <v>59</v>
      </c>
      <c r="CP15">
        <v>0.11</v>
      </c>
      <c r="CQ15">
        <v>27.4</v>
      </c>
      <c r="CR15">
        <v>7.49</v>
      </c>
      <c r="CS15">
        <v>105</v>
      </c>
      <c r="CT15">
        <v>30</v>
      </c>
      <c r="CU15">
        <v>23</v>
      </c>
      <c r="CV15">
        <v>0.8</v>
      </c>
      <c r="CY15">
        <v>18</v>
      </c>
      <c r="CZ15">
        <v>29</v>
      </c>
      <c r="DA15">
        <v>452</v>
      </c>
      <c r="DB15">
        <v>32</v>
      </c>
      <c r="DC15">
        <v>1</v>
      </c>
      <c r="DD15">
        <v>2</v>
      </c>
      <c r="DE15">
        <v>100</v>
      </c>
      <c r="DF15">
        <v>500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82</v>
      </c>
      <c r="DP15">
        <v>31</v>
      </c>
      <c r="DQ15">
        <v>46</v>
      </c>
      <c r="DR15">
        <v>70</v>
      </c>
      <c r="DS15">
        <v>36.5</v>
      </c>
      <c r="DT15">
        <v>1</v>
      </c>
      <c r="DU15">
        <v>0</v>
      </c>
      <c r="DV15">
        <v>0</v>
      </c>
      <c r="DW15">
        <v>0</v>
      </c>
      <c r="DY15">
        <v>0</v>
      </c>
      <c r="DZ15">
        <v>3.5</v>
      </c>
      <c r="EA15">
        <v>50</v>
      </c>
      <c r="EB15">
        <v>13</v>
      </c>
      <c r="EC15">
        <v>100</v>
      </c>
      <c r="ED15">
        <v>0</v>
      </c>
      <c r="EE15">
        <v>0</v>
      </c>
      <c r="EF15">
        <v>1</v>
      </c>
      <c r="EG15">
        <v>7</v>
      </c>
      <c r="EH15" t="s">
        <v>144</v>
      </c>
      <c r="EI15" t="s">
        <v>144</v>
      </c>
      <c r="EJ15" t="s">
        <v>144</v>
      </c>
      <c r="EK15">
        <v>3</v>
      </c>
      <c r="EL15">
        <v>2.7</v>
      </c>
      <c r="EM15">
        <v>33.119999999999997</v>
      </c>
      <c r="EN15">
        <v>25.8</v>
      </c>
      <c r="EO15">
        <v>17.8</v>
      </c>
      <c r="EP15">
        <v>260.7</v>
      </c>
      <c r="EQ15">
        <v>93</v>
      </c>
      <c r="ER15">
        <v>37</v>
      </c>
      <c r="ES15">
        <v>58</v>
      </c>
      <c r="ET15">
        <v>87</v>
      </c>
      <c r="EU15">
        <v>5.0999999999999996</v>
      </c>
      <c r="EV15" t="s">
        <v>144</v>
      </c>
      <c r="EW15">
        <v>3</v>
      </c>
      <c r="EX15">
        <v>1.98</v>
      </c>
      <c r="EY15">
        <v>46.23</v>
      </c>
      <c r="FC15">
        <v>104</v>
      </c>
      <c r="FD15">
        <v>46</v>
      </c>
      <c r="FE15">
        <v>65</v>
      </c>
      <c r="FF15">
        <v>87</v>
      </c>
      <c r="FG15">
        <v>3.6</v>
      </c>
      <c r="FH15" t="s">
        <v>144</v>
      </c>
      <c r="FI15">
        <v>3</v>
      </c>
      <c r="FJ15">
        <v>2.6</v>
      </c>
      <c r="FK15">
        <v>21.6</v>
      </c>
      <c r="FO15">
        <v>100</v>
      </c>
      <c r="FP15">
        <v>42</v>
      </c>
      <c r="FQ15">
        <v>60</v>
      </c>
      <c r="FR15">
        <v>81</v>
      </c>
      <c r="FS15">
        <v>4.2</v>
      </c>
      <c r="FZ15">
        <v>2</v>
      </c>
      <c r="GA15">
        <v>2.1</v>
      </c>
      <c r="GB15">
        <v>40.119999999999997</v>
      </c>
      <c r="GF15">
        <v>104</v>
      </c>
      <c r="GG15">
        <v>45</v>
      </c>
      <c r="GH15">
        <v>65</v>
      </c>
      <c r="GI15">
        <v>80</v>
      </c>
      <c r="GJ15">
        <v>4</v>
      </c>
      <c r="GK15" t="s">
        <v>144</v>
      </c>
      <c r="GL15">
        <v>2</v>
      </c>
      <c r="GM15">
        <v>2.8</v>
      </c>
      <c r="GN15">
        <v>21.02</v>
      </c>
      <c r="GR15">
        <v>103</v>
      </c>
      <c r="GS15">
        <v>43</v>
      </c>
      <c r="GT15">
        <v>64</v>
      </c>
      <c r="GU15">
        <v>83</v>
      </c>
      <c r="GV15">
        <v>4.0999999999999996</v>
      </c>
      <c r="GX15">
        <v>2</v>
      </c>
      <c r="GY15">
        <v>2.5</v>
      </c>
      <c r="GZ15">
        <v>27.2</v>
      </c>
      <c r="HG15">
        <f t="shared" si="0"/>
        <v>13.11</v>
      </c>
      <c r="HH15" s="16">
        <f t="shared" si="1"/>
        <v>0.39583333333333337</v>
      </c>
      <c r="HI15">
        <f t="shared" si="2"/>
        <v>18.519999999999996</v>
      </c>
      <c r="HJ15" s="16">
        <f t="shared" si="3"/>
        <v>0.85740740740740717</v>
      </c>
      <c r="HK15">
        <f>GZ15-FK15</f>
        <v>5.5999999999999979</v>
      </c>
      <c r="HL15" s="16">
        <f>HK15/FK15</f>
        <v>0.25925925925925913</v>
      </c>
      <c r="HM15">
        <f>GZ15-GB15</f>
        <v>-12.919999999999998</v>
      </c>
      <c r="HO15">
        <v>23447</v>
      </c>
      <c r="HP15">
        <v>33671</v>
      </c>
    </row>
    <row r="16" spans="1:226" x14ac:dyDescent="0.35">
      <c r="A16" t="s">
        <v>187</v>
      </c>
      <c r="B16" t="s">
        <v>188</v>
      </c>
      <c r="C16" s="3">
        <v>24138</v>
      </c>
      <c r="D16">
        <v>57</v>
      </c>
      <c r="E16">
        <v>74.5</v>
      </c>
      <c r="F16">
        <v>165</v>
      </c>
      <c r="G16">
        <v>27.4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61</v>
      </c>
      <c r="AF16">
        <v>0</v>
      </c>
      <c r="AG16">
        <v>0</v>
      </c>
      <c r="AH16">
        <v>0</v>
      </c>
      <c r="AI16">
        <v>0</v>
      </c>
      <c r="AJ16" s="3">
        <v>44971</v>
      </c>
      <c r="AK16" t="s">
        <v>189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53</v>
      </c>
      <c r="AR16">
        <v>7</v>
      </c>
      <c r="AS16">
        <v>0</v>
      </c>
      <c r="AT16">
        <v>0</v>
      </c>
      <c r="AU16">
        <v>1</v>
      </c>
      <c r="AV16">
        <v>4</v>
      </c>
      <c r="AW16">
        <v>2</v>
      </c>
      <c r="AX16">
        <v>0</v>
      </c>
      <c r="AY16">
        <v>12.64</v>
      </c>
      <c r="AZ16">
        <v>7</v>
      </c>
      <c r="BA16">
        <v>154</v>
      </c>
      <c r="BB16">
        <v>61</v>
      </c>
      <c r="BC16">
        <v>15.4</v>
      </c>
      <c r="BD16">
        <v>282</v>
      </c>
      <c r="BE16">
        <v>126</v>
      </c>
      <c r="BF16">
        <v>92</v>
      </c>
      <c r="BG16">
        <v>59</v>
      </c>
      <c r="BH16">
        <v>225</v>
      </c>
      <c r="BI16" t="s">
        <v>144</v>
      </c>
      <c r="BJ16">
        <v>29.1</v>
      </c>
      <c r="BK16">
        <v>7.31</v>
      </c>
      <c r="BL16">
        <v>84</v>
      </c>
      <c r="BM16">
        <v>23</v>
      </c>
      <c r="BN16">
        <v>12</v>
      </c>
      <c r="BO16">
        <v>7.1</v>
      </c>
      <c r="BP16">
        <v>28</v>
      </c>
      <c r="BQ16">
        <v>32</v>
      </c>
      <c r="BR16">
        <v>2750</v>
      </c>
      <c r="BS16">
        <v>871</v>
      </c>
      <c r="BT16">
        <v>3820</v>
      </c>
      <c r="BU16">
        <v>506</v>
      </c>
      <c r="BV16" s="3">
        <v>44971</v>
      </c>
      <c r="BW16" t="s">
        <v>190</v>
      </c>
      <c r="BX16">
        <v>74.5</v>
      </c>
      <c r="BY16">
        <v>7</v>
      </c>
      <c r="BZ16">
        <v>0</v>
      </c>
      <c r="CA16">
        <v>0</v>
      </c>
      <c r="CB16">
        <v>1</v>
      </c>
      <c r="CC16">
        <v>4</v>
      </c>
      <c r="CD16">
        <v>2</v>
      </c>
      <c r="CE16">
        <v>0</v>
      </c>
      <c r="CF16">
        <v>12.64</v>
      </c>
      <c r="CG16">
        <v>7</v>
      </c>
      <c r="CH16">
        <v>154</v>
      </c>
      <c r="CI16">
        <v>61</v>
      </c>
      <c r="CJ16">
        <v>15.4</v>
      </c>
      <c r="CK16">
        <v>282</v>
      </c>
      <c r="CL16">
        <v>126</v>
      </c>
      <c r="CM16">
        <v>92</v>
      </c>
      <c r="CN16">
        <v>59</v>
      </c>
      <c r="CO16">
        <v>225</v>
      </c>
      <c r="CP16" t="s">
        <v>144</v>
      </c>
      <c r="CQ16">
        <v>29.1</v>
      </c>
      <c r="CR16">
        <v>7.31</v>
      </c>
      <c r="CS16">
        <v>84</v>
      </c>
      <c r="CT16">
        <v>23</v>
      </c>
      <c r="CU16">
        <v>12</v>
      </c>
      <c r="CV16">
        <v>7.1</v>
      </c>
      <c r="CW16">
        <v>28</v>
      </c>
      <c r="CX16">
        <v>32</v>
      </c>
      <c r="CY16">
        <v>2750</v>
      </c>
      <c r="CZ16">
        <v>871</v>
      </c>
      <c r="DA16">
        <v>3820</v>
      </c>
      <c r="DB16">
        <v>506</v>
      </c>
      <c r="DC16" t="s">
        <v>191</v>
      </c>
      <c r="DD16">
        <v>2</v>
      </c>
      <c r="DE16">
        <v>100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121</v>
      </c>
      <c r="DP16">
        <v>84</v>
      </c>
      <c r="DQ16">
        <v>94</v>
      </c>
      <c r="DR16">
        <v>101</v>
      </c>
      <c r="DS16">
        <v>36.5</v>
      </c>
      <c r="DT16">
        <v>1</v>
      </c>
      <c r="DU16">
        <v>0</v>
      </c>
      <c r="DV16">
        <v>0</v>
      </c>
      <c r="DW16" t="s">
        <v>144</v>
      </c>
      <c r="DX16" t="s">
        <v>144</v>
      </c>
      <c r="DY16">
        <v>2</v>
      </c>
      <c r="DZ16">
        <v>6</v>
      </c>
      <c r="EA16">
        <v>60</v>
      </c>
      <c r="EB16">
        <v>16</v>
      </c>
      <c r="EC16">
        <v>0</v>
      </c>
      <c r="ED16">
        <v>0</v>
      </c>
      <c r="EE16">
        <v>0</v>
      </c>
      <c r="EF16">
        <v>0.9</v>
      </c>
      <c r="EG16">
        <v>4.2</v>
      </c>
      <c r="EH16" t="s">
        <v>144</v>
      </c>
      <c r="EI16" t="s">
        <v>144</v>
      </c>
      <c r="EJ16" t="s">
        <v>144</v>
      </c>
      <c r="EK16" t="s">
        <v>144</v>
      </c>
      <c r="EL16">
        <v>4.0199999999999996</v>
      </c>
      <c r="EM16">
        <v>14.24</v>
      </c>
      <c r="EN16">
        <v>2</v>
      </c>
      <c r="EO16">
        <v>10.35</v>
      </c>
      <c r="EP16">
        <v>27.77</v>
      </c>
      <c r="EQ16">
        <v>120</v>
      </c>
      <c r="ER16">
        <v>82</v>
      </c>
      <c r="ES16">
        <v>95</v>
      </c>
      <c r="ET16">
        <v>102</v>
      </c>
      <c r="EU16">
        <v>11.4</v>
      </c>
      <c r="EV16" t="s">
        <v>144</v>
      </c>
      <c r="EW16" t="s">
        <v>144</v>
      </c>
      <c r="EX16" s="1">
        <v>3.12</v>
      </c>
      <c r="EY16">
        <v>18.88</v>
      </c>
      <c r="EZ16">
        <v>2.6</v>
      </c>
      <c r="FA16">
        <v>11.9</v>
      </c>
      <c r="FB16">
        <v>28.56</v>
      </c>
      <c r="FC16">
        <v>123</v>
      </c>
      <c r="FD16">
        <v>82</v>
      </c>
      <c r="FE16">
        <v>94</v>
      </c>
      <c r="FF16">
        <v>101</v>
      </c>
      <c r="FG16">
        <v>6.5</v>
      </c>
      <c r="FH16" t="s">
        <v>144</v>
      </c>
      <c r="FI16" t="s">
        <v>144</v>
      </c>
      <c r="FJ16">
        <v>3.49</v>
      </c>
      <c r="FK16">
        <v>15.21</v>
      </c>
      <c r="FL16">
        <v>2.74</v>
      </c>
      <c r="FM16">
        <v>10.93</v>
      </c>
      <c r="FN16">
        <v>39.119999999999997</v>
      </c>
      <c r="FO16">
        <v>121</v>
      </c>
      <c r="FP16">
        <v>79</v>
      </c>
      <c r="FQ16">
        <v>93</v>
      </c>
      <c r="FR16">
        <v>108</v>
      </c>
      <c r="FS16">
        <v>8.1</v>
      </c>
      <c r="FY16" t="s">
        <v>144</v>
      </c>
      <c r="FZ16" t="s">
        <v>144</v>
      </c>
      <c r="GA16">
        <v>2.59</v>
      </c>
      <c r="GB16">
        <v>33.119999999999997</v>
      </c>
      <c r="GC16">
        <v>4.4800000000000004</v>
      </c>
      <c r="GD16">
        <v>22.52</v>
      </c>
      <c r="GE16">
        <v>62.87</v>
      </c>
      <c r="HE16">
        <v>1</v>
      </c>
      <c r="HF16" s="3">
        <v>44954</v>
      </c>
      <c r="HG16">
        <f t="shared" si="0"/>
        <v>4.6399999999999988</v>
      </c>
      <c r="HH16" s="16">
        <f t="shared" si="1"/>
        <v>0.32584269662921339</v>
      </c>
      <c r="HI16">
        <f t="shared" si="2"/>
        <v>17.909999999999997</v>
      </c>
      <c r="HJ16" s="16">
        <f t="shared" si="3"/>
        <v>1.1775147928994081</v>
      </c>
      <c r="HL16" s="16"/>
      <c r="HO16">
        <v>45340</v>
      </c>
      <c r="HP16">
        <v>29272</v>
      </c>
    </row>
    <row r="17" spans="1:226" x14ac:dyDescent="0.35">
      <c r="A17" s="21" t="s">
        <v>305</v>
      </c>
      <c r="B17" s="21" t="s">
        <v>306</v>
      </c>
      <c r="C17" s="22">
        <v>18628</v>
      </c>
      <c r="D17" s="21">
        <v>72</v>
      </c>
      <c r="E17" s="21">
        <v>71.5</v>
      </c>
      <c r="F17" s="21">
        <v>179</v>
      </c>
      <c r="G17" s="21"/>
      <c r="H17" s="21">
        <v>0</v>
      </c>
      <c r="I17" s="21">
        <v>1</v>
      </c>
      <c r="J17" s="21">
        <v>1</v>
      </c>
      <c r="K17" s="21">
        <v>0</v>
      </c>
      <c r="L17" s="21">
        <v>1</v>
      </c>
      <c r="M17" s="21">
        <v>1</v>
      </c>
      <c r="N17" s="21">
        <v>0</v>
      </c>
      <c r="O17" s="21">
        <v>1</v>
      </c>
      <c r="P17" s="21">
        <v>0</v>
      </c>
      <c r="Q17" s="21">
        <v>1</v>
      </c>
      <c r="R17" s="21">
        <v>0</v>
      </c>
      <c r="S17" s="21">
        <v>1</v>
      </c>
      <c r="T17" s="21">
        <v>1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 t="s">
        <v>144</v>
      </c>
      <c r="AF17" s="21"/>
      <c r="AG17" s="21"/>
      <c r="AH17" s="21"/>
      <c r="AI17" s="21"/>
      <c r="AJ17" s="22">
        <v>45137</v>
      </c>
      <c r="AK17" s="21" t="s">
        <v>307</v>
      </c>
      <c r="AL17" s="21">
        <v>1</v>
      </c>
      <c r="AM17" s="21">
        <v>0</v>
      </c>
      <c r="AN17" s="21">
        <v>0</v>
      </c>
      <c r="AO17" s="21">
        <v>0</v>
      </c>
      <c r="AP17" s="21">
        <v>0</v>
      </c>
      <c r="AQ17" s="21"/>
      <c r="AR17" s="21">
        <v>1</v>
      </c>
      <c r="AS17" s="21">
        <v>0</v>
      </c>
      <c r="AT17" s="21">
        <v>1</v>
      </c>
      <c r="AU17" s="21">
        <v>0</v>
      </c>
      <c r="AV17" s="21">
        <v>0</v>
      </c>
      <c r="AW17" s="21">
        <v>0</v>
      </c>
      <c r="AX17" s="21">
        <v>0</v>
      </c>
      <c r="AY17" s="21">
        <v>14</v>
      </c>
      <c r="AZ17" s="21">
        <v>10.199999999999999</v>
      </c>
      <c r="BA17" s="21">
        <v>213</v>
      </c>
      <c r="BB17" s="21">
        <v>63</v>
      </c>
      <c r="BC17" s="21">
        <v>15.5</v>
      </c>
      <c r="BD17" s="21">
        <v>63</v>
      </c>
      <c r="BE17" s="21">
        <v>142</v>
      </c>
      <c r="BF17" s="21">
        <v>109</v>
      </c>
      <c r="BG17" s="21">
        <v>6</v>
      </c>
      <c r="BH17" s="21" t="s">
        <v>144</v>
      </c>
      <c r="BI17" s="21" t="s">
        <v>144</v>
      </c>
      <c r="BJ17" s="21" t="s">
        <v>144</v>
      </c>
      <c r="BK17" s="21">
        <v>7.34</v>
      </c>
      <c r="BL17" s="21">
        <v>115</v>
      </c>
      <c r="BM17" s="21">
        <v>44</v>
      </c>
      <c r="BN17" s="21">
        <v>24</v>
      </c>
      <c r="BO17" s="21">
        <v>2</v>
      </c>
      <c r="BP17" s="21">
        <v>90</v>
      </c>
      <c r="BQ17" s="21" t="s">
        <v>144</v>
      </c>
      <c r="BR17" s="21">
        <v>19</v>
      </c>
      <c r="BS17" s="21">
        <v>14</v>
      </c>
      <c r="BT17" s="21">
        <v>337</v>
      </c>
      <c r="BU17" s="21">
        <v>92</v>
      </c>
      <c r="BV17" s="22">
        <v>45139</v>
      </c>
      <c r="BW17" s="21" t="s">
        <v>308</v>
      </c>
      <c r="BX17" s="21">
        <v>71.5</v>
      </c>
      <c r="BY17" s="21">
        <v>2</v>
      </c>
      <c r="BZ17" s="21">
        <v>0</v>
      </c>
      <c r="CA17" s="21">
        <v>0</v>
      </c>
      <c r="CB17" s="21">
        <v>1</v>
      </c>
      <c r="CC17" s="21">
        <v>1</v>
      </c>
      <c r="CD17" s="21">
        <v>0</v>
      </c>
      <c r="CE17" s="21">
        <v>0</v>
      </c>
      <c r="CF17" s="21">
        <v>7.17</v>
      </c>
      <c r="CG17" s="21">
        <v>8.1999999999999993</v>
      </c>
      <c r="CH17" s="21">
        <v>201</v>
      </c>
      <c r="CI17" s="21">
        <v>57</v>
      </c>
      <c r="CJ17" s="21">
        <v>12.9</v>
      </c>
      <c r="CK17" s="21">
        <v>130</v>
      </c>
      <c r="CL17" s="21">
        <v>137</v>
      </c>
      <c r="CM17" s="21">
        <v>101</v>
      </c>
      <c r="CN17" s="21">
        <v>5</v>
      </c>
      <c r="CO17" s="21">
        <v>88</v>
      </c>
      <c r="CP17" s="21">
        <v>1.37</v>
      </c>
      <c r="CQ17" s="21" t="s">
        <v>282</v>
      </c>
      <c r="CR17" s="21" t="s">
        <v>144</v>
      </c>
      <c r="CS17" s="21" t="s">
        <v>144</v>
      </c>
      <c r="CT17" s="21" t="s">
        <v>144</v>
      </c>
      <c r="CU17" s="21" t="s">
        <v>144</v>
      </c>
      <c r="CV17" s="21" t="s">
        <v>144</v>
      </c>
      <c r="CW17" s="21" t="s">
        <v>144</v>
      </c>
      <c r="CX17" s="21" t="s">
        <v>144</v>
      </c>
      <c r="CY17" s="21">
        <v>16</v>
      </c>
      <c r="CZ17" s="21">
        <v>17</v>
      </c>
      <c r="DA17" s="21">
        <v>355</v>
      </c>
      <c r="DB17" s="21">
        <v>72</v>
      </c>
      <c r="DC17" s="21">
        <v>1</v>
      </c>
      <c r="DD17" s="21">
        <v>2</v>
      </c>
      <c r="DE17" s="21">
        <v>100</v>
      </c>
      <c r="DF17" s="21">
        <v>0</v>
      </c>
      <c r="DG17" s="21">
        <v>0</v>
      </c>
      <c r="DH17" s="21">
        <v>0</v>
      </c>
      <c r="DI17" s="21">
        <v>0</v>
      </c>
      <c r="DJ17" s="21">
        <v>0</v>
      </c>
      <c r="DK17" s="21">
        <v>200</v>
      </c>
      <c r="DL17" s="21">
        <v>10</v>
      </c>
      <c r="DM17" s="21">
        <v>0</v>
      </c>
      <c r="DN17" s="21">
        <v>0</v>
      </c>
      <c r="DO17" s="21">
        <v>100</v>
      </c>
      <c r="DP17" s="21">
        <v>61</v>
      </c>
      <c r="DQ17" s="21">
        <v>76</v>
      </c>
      <c r="DR17" s="21">
        <v>110</v>
      </c>
      <c r="DS17" s="21">
        <v>38.799999999999997</v>
      </c>
      <c r="DT17" s="21">
        <v>0</v>
      </c>
      <c r="DU17" s="21">
        <v>0</v>
      </c>
      <c r="DV17" s="21">
        <v>1</v>
      </c>
      <c r="DW17" s="21">
        <v>8</v>
      </c>
      <c r="DX17" s="21">
        <v>50</v>
      </c>
      <c r="DY17" s="21">
        <v>60</v>
      </c>
      <c r="DZ17" s="21">
        <v>3.8</v>
      </c>
      <c r="EA17" s="21">
        <v>40</v>
      </c>
      <c r="EB17" s="21">
        <v>20</v>
      </c>
      <c r="EC17" s="21">
        <v>0</v>
      </c>
      <c r="ED17" s="21">
        <v>0</v>
      </c>
      <c r="EE17" s="21">
        <v>0</v>
      </c>
      <c r="EF17" s="21">
        <v>1.4</v>
      </c>
      <c r="EG17" s="21">
        <v>6</v>
      </c>
      <c r="EH17" s="21" t="s">
        <v>144</v>
      </c>
      <c r="EI17" s="21" t="s">
        <v>144</v>
      </c>
      <c r="EJ17" s="21" t="s">
        <v>144</v>
      </c>
      <c r="EK17" s="21">
        <v>0</v>
      </c>
      <c r="EL17" s="21">
        <v>1.9</v>
      </c>
      <c r="EM17" s="21">
        <v>238.68</v>
      </c>
      <c r="EN17" s="21">
        <v>60.9</v>
      </c>
      <c r="EO17" s="21">
        <v>123</v>
      </c>
      <c r="EP17" s="21">
        <v>505</v>
      </c>
      <c r="EQ17" s="21">
        <v>122</v>
      </c>
      <c r="ER17" s="21">
        <v>74</v>
      </c>
      <c r="ES17" s="21">
        <v>88</v>
      </c>
      <c r="ET17" s="21">
        <v>111</v>
      </c>
      <c r="EU17" s="21">
        <v>3.5</v>
      </c>
      <c r="EV17" s="21" t="s">
        <v>144</v>
      </c>
      <c r="EW17" s="21">
        <v>0</v>
      </c>
      <c r="EX17" s="21">
        <v>1.8</v>
      </c>
      <c r="EY17" s="21">
        <v>258.70999999999998</v>
      </c>
      <c r="EZ17" s="21"/>
      <c r="FA17" s="21"/>
      <c r="FB17" s="21"/>
      <c r="FC17" s="21">
        <v>121</v>
      </c>
      <c r="FD17" s="21">
        <v>71</v>
      </c>
      <c r="FE17" s="21">
        <v>87</v>
      </c>
      <c r="FF17" s="21">
        <v>112</v>
      </c>
      <c r="FG17" s="21">
        <v>3.2</v>
      </c>
      <c r="FH17" s="21" t="s">
        <v>144</v>
      </c>
      <c r="FI17" s="21">
        <v>0</v>
      </c>
      <c r="FJ17" s="21">
        <v>1.8</v>
      </c>
      <c r="FK17" s="21">
        <v>166.69</v>
      </c>
      <c r="FL17" s="21"/>
      <c r="FM17" s="21"/>
      <c r="FN17" s="21"/>
      <c r="FO17" s="21">
        <v>115</v>
      </c>
      <c r="FP17" s="21">
        <v>70</v>
      </c>
      <c r="FQ17" s="21">
        <v>84</v>
      </c>
      <c r="FR17" s="21">
        <v>111</v>
      </c>
      <c r="FS17" s="21">
        <v>3.5</v>
      </c>
      <c r="FT17" s="21">
        <v>40</v>
      </c>
      <c r="FU17" s="21">
        <v>1.2</v>
      </c>
      <c r="FV17" s="21" t="s">
        <v>144</v>
      </c>
      <c r="FW17" s="21">
        <v>19</v>
      </c>
      <c r="FX17" s="21">
        <v>0</v>
      </c>
      <c r="FY17" s="21" t="s">
        <v>144</v>
      </c>
      <c r="FZ17" s="21">
        <v>0</v>
      </c>
      <c r="GA17" s="21">
        <v>1.6</v>
      </c>
      <c r="GB17" s="21">
        <v>408.49</v>
      </c>
      <c r="GC17" s="21"/>
      <c r="GD17" s="21"/>
      <c r="GE17" s="21"/>
      <c r="GF17" s="21">
        <v>120</v>
      </c>
      <c r="GG17" s="21">
        <v>70</v>
      </c>
      <c r="GH17" s="21">
        <v>85</v>
      </c>
      <c r="GI17" s="21">
        <v>110</v>
      </c>
      <c r="GJ17" s="21">
        <v>3.4</v>
      </c>
      <c r="GK17" s="21" t="s">
        <v>144</v>
      </c>
      <c r="GL17" s="21">
        <v>0</v>
      </c>
      <c r="GM17" s="21">
        <v>1.55</v>
      </c>
      <c r="GN17" s="21">
        <v>403.44</v>
      </c>
      <c r="GO17" s="21"/>
      <c r="GP17" s="21"/>
      <c r="GQ17" s="21"/>
      <c r="GR17" s="21">
        <v>114</v>
      </c>
      <c r="GS17" s="21">
        <v>67</v>
      </c>
      <c r="GT17" s="21">
        <v>82</v>
      </c>
      <c r="GU17" s="21">
        <v>110</v>
      </c>
      <c r="GV17" s="21">
        <v>3.5</v>
      </c>
      <c r="GW17" s="21" t="s">
        <v>144</v>
      </c>
      <c r="GX17" s="21">
        <v>0</v>
      </c>
      <c r="GY17" s="21">
        <v>0.9</v>
      </c>
      <c r="GZ17" s="21">
        <v>380.1</v>
      </c>
      <c r="HA17" s="21"/>
      <c r="HB17" s="21"/>
      <c r="HC17" s="21"/>
      <c r="HD17" s="21"/>
      <c r="HE17" s="21"/>
      <c r="HF17" s="21"/>
      <c r="HG17" s="21">
        <f t="shared" si="0"/>
        <v>20.029999999999973</v>
      </c>
      <c r="HH17" s="23">
        <f t="shared" si="1"/>
        <v>8.3919892743422042E-2</v>
      </c>
      <c r="HI17" s="21">
        <f t="shared" si="2"/>
        <v>241.8</v>
      </c>
      <c r="HJ17" s="23">
        <f t="shared" si="3"/>
        <v>1.4505969164316996</v>
      </c>
      <c r="HK17">
        <f>GZ17-FK17</f>
        <v>213.41000000000003</v>
      </c>
      <c r="HL17" s="23">
        <f>HK17/FK17</f>
        <v>1.2802807606935032</v>
      </c>
      <c r="HM17" s="21">
        <f>GZ17-GB17</f>
        <v>-28.389999999999986</v>
      </c>
      <c r="HN17" s="21" t="s">
        <v>377</v>
      </c>
      <c r="HO17" s="17">
        <v>731715</v>
      </c>
      <c r="HP17" s="17">
        <v>442510</v>
      </c>
      <c r="HQ17" s="17"/>
      <c r="HR17" s="17"/>
    </row>
    <row r="18" spans="1:226" x14ac:dyDescent="0.35">
      <c r="A18" s="17" t="s">
        <v>316</v>
      </c>
      <c r="B18" s="17" t="s">
        <v>317</v>
      </c>
      <c r="C18" s="18">
        <v>22948</v>
      </c>
      <c r="D18" s="17">
        <v>60</v>
      </c>
      <c r="E18" s="17"/>
      <c r="F18" s="17">
        <v>183</v>
      </c>
      <c r="G18" s="17"/>
      <c r="H18" s="17">
        <v>0</v>
      </c>
      <c r="I18" s="17">
        <v>1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1</v>
      </c>
      <c r="AD18" s="17">
        <v>0</v>
      </c>
      <c r="AE18" s="17" t="s">
        <v>144</v>
      </c>
      <c r="AF18" s="17"/>
      <c r="AG18" s="17"/>
      <c r="AH18" s="17"/>
      <c r="AI18" s="17"/>
      <c r="AJ18" s="18">
        <v>45141</v>
      </c>
      <c r="AK18" s="17" t="s">
        <v>38</v>
      </c>
      <c r="AL18" s="17">
        <v>1</v>
      </c>
      <c r="AM18" s="17">
        <v>1</v>
      </c>
      <c r="AN18" s="17">
        <v>0</v>
      </c>
      <c r="AO18" s="17">
        <v>0</v>
      </c>
      <c r="AP18" s="17">
        <v>0</v>
      </c>
      <c r="AQ18" s="17"/>
      <c r="AR18" s="17">
        <v>6</v>
      </c>
      <c r="AS18" s="17">
        <v>4</v>
      </c>
      <c r="AT18" s="17">
        <v>0</v>
      </c>
      <c r="AU18" s="17">
        <v>0</v>
      </c>
      <c r="AV18" s="17">
        <v>0</v>
      </c>
      <c r="AW18" s="17">
        <v>0</v>
      </c>
      <c r="AX18" s="17">
        <v>2</v>
      </c>
      <c r="AY18" s="17">
        <v>24.99</v>
      </c>
      <c r="AZ18" s="17">
        <v>8.8000000000000007</v>
      </c>
      <c r="BA18" s="17">
        <v>86</v>
      </c>
      <c r="BB18" s="17">
        <v>44</v>
      </c>
      <c r="BC18" s="17">
        <v>7.1</v>
      </c>
      <c r="BD18" s="17">
        <v>71</v>
      </c>
      <c r="BE18" s="17">
        <v>138</v>
      </c>
      <c r="BF18" s="17">
        <v>106</v>
      </c>
      <c r="BG18" s="17">
        <v>18</v>
      </c>
      <c r="BH18" s="17">
        <v>134</v>
      </c>
      <c r="BI18" s="17">
        <v>70.8</v>
      </c>
      <c r="BJ18" s="17">
        <v>25</v>
      </c>
      <c r="BK18" s="17">
        <v>7.42</v>
      </c>
      <c r="BL18" s="17">
        <v>83</v>
      </c>
      <c r="BM18" s="17">
        <v>37</v>
      </c>
      <c r="BN18" s="17">
        <v>24</v>
      </c>
      <c r="BO18" s="17">
        <v>1.2</v>
      </c>
      <c r="BP18" s="17">
        <v>58</v>
      </c>
      <c r="BQ18" s="17">
        <v>69</v>
      </c>
      <c r="BR18" s="17">
        <v>24</v>
      </c>
      <c r="BS18" s="17">
        <v>11</v>
      </c>
      <c r="BT18" s="17">
        <v>293</v>
      </c>
      <c r="BU18" s="17">
        <v>29</v>
      </c>
      <c r="BV18" s="18">
        <v>45141</v>
      </c>
      <c r="BW18" s="17" t="s">
        <v>318</v>
      </c>
      <c r="BX18" s="17"/>
      <c r="BY18" s="17">
        <v>6</v>
      </c>
      <c r="BZ18" s="17">
        <v>4</v>
      </c>
      <c r="CA18" s="17">
        <v>0</v>
      </c>
      <c r="CB18" s="17">
        <v>0</v>
      </c>
      <c r="CC18" s="17">
        <v>0</v>
      </c>
      <c r="CD18" s="17">
        <v>0</v>
      </c>
      <c r="CE18" s="17">
        <v>2</v>
      </c>
      <c r="CF18" s="17">
        <v>24.99</v>
      </c>
      <c r="CG18" s="17">
        <v>8.8000000000000007</v>
      </c>
      <c r="CH18" s="17">
        <v>86</v>
      </c>
      <c r="CI18" s="17">
        <v>44</v>
      </c>
      <c r="CJ18" s="17">
        <v>7.1</v>
      </c>
      <c r="CK18" s="17">
        <v>71</v>
      </c>
      <c r="CL18" s="17">
        <v>138</v>
      </c>
      <c r="CM18" s="17">
        <v>106</v>
      </c>
      <c r="CN18" s="17">
        <v>18</v>
      </c>
      <c r="CO18" s="17">
        <v>134</v>
      </c>
      <c r="CP18" s="17">
        <v>70.8</v>
      </c>
      <c r="CQ18" s="17">
        <v>25</v>
      </c>
      <c r="CR18" s="17">
        <v>7.42</v>
      </c>
      <c r="CS18" s="17">
        <v>83</v>
      </c>
      <c r="CT18" s="17">
        <v>37</v>
      </c>
      <c r="CU18" s="17">
        <v>24</v>
      </c>
      <c r="CV18" s="17">
        <v>1.2</v>
      </c>
      <c r="CW18" s="17">
        <v>58</v>
      </c>
      <c r="CX18" s="17">
        <v>69</v>
      </c>
      <c r="CY18" s="17">
        <v>24</v>
      </c>
      <c r="CZ18" s="17">
        <v>11</v>
      </c>
      <c r="DA18" s="17">
        <v>293</v>
      </c>
      <c r="DB18" s="17">
        <v>29</v>
      </c>
      <c r="DC18" s="17">
        <v>1</v>
      </c>
      <c r="DD18" s="17">
        <v>2</v>
      </c>
      <c r="DE18" s="17">
        <v>100</v>
      </c>
      <c r="DF18" s="17">
        <v>1500</v>
      </c>
      <c r="DG18" s="17">
        <v>0</v>
      </c>
      <c r="DH18" s="17">
        <v>0.21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91</v>
      </c>
      <c r="DP18" s="17">
        <v>40</v>
      </c>
      <c r="DQ18" s="17">
        <v>57</v>
      </c>
      <c r="DR18" s="17">
        <v>102</v>
      </c>
      <c r="DS18" s="17">
        <v>36.799999999999997</v>
      </c>
      <c r="DT18" s="17">
        <v>1</v>
      </c>
      <c r="DU18" s="17">
        <v>0</v>
      </c>
      <c r="DV18" s="17">
        <v>0</v>
      </c>
      <c r="DW18" s="17">
        <v>0</v>
      </c>
      <c r="DX18" s="17" t="s">
        <v>176</v>
      </c>
      <c r="DY18" s="17">
        <v>1</v>
      </c>
      <c r="DZ18" s="17">
        <v>4.3</v>
      </c>
      <c r="EA18" s="17">
        <v>50</v>
      </c>
      <c r="EB18" s="17">
        <v>8</v>
      </c>
      <c r="EC18" s="17">
        <v>100</v>
      </c>
      <c r="ED18" s="17">
        <v>1</v>
      </c>
      <c r="EE18" s="17">
        <v>0</v>
      </c>
      <c r="EF18" s="17" t="s">
        <v>144</v>
      </c>
      <c r="EG18" s="17">
        <v>9</v>
      </c>
      <c r="EH18" s="17" t="s">
        <v>144</v>
      </c>
      <c r="EI18" s="17" t="s">
        <v>144</v>
      </c>
      <c r="EJ18" s="17" t="s">
        <v>144</v>
      </c>
      <c r="EK18" s="17">
        <v>0</v>
      </c>
      <c r="EL18" s="17">
        <v>3.27</v>
      </c>
      <c r="EM18" s="17">
        <v>44.1</v>
      </c>
      <c r="EN18" s="17">
        <v>7.9</v>
      </c>
      <c r="EO18" s="17">
        <v>24.4</v>
      </c>
      <c r="EP18" s="17">
        <v>63.6</v>
      </c>
      <c r="EQ18" s="17">
        <v>108</v>
      </c>
      <c r="ER18" s="17">
        <v>44</v>
      </c>
      <c r="ES18" s="17">
        <v>66</v>
      </c>
      <c r="ET18" s="17">
        <v>110</v>
      </c>
      <c r="EU18" s="17">
        <v>6.2</v>
      </c>
      <c r="EV18" s="17" t="s">
        <v>144</v>
      </c>
      <c r="EW18" s="17">
        <v>0</v>
      </c>
      <c r="EX18" s="17">
        <v>3.5</v>
      </c>
      <c r="EY18" s="17">
        <v>39.1</v>
      </c>
      <c r="EZ18" s="17"/>
      <c r="FA18" s="17"/>
      <c r="FB18" s="17"/>
      <c r="FC18" s="17">
        <v>112</v>
      </c>
      <c r="FD18" s="17">
        <v>48</v>
      </c>
      <c r="FE18" s="17">
        <v>71</v>
      </c>
      <c r="FF18" s="17">
        <v>107</v>
      </c>
      <c r="FG18" s="17">
        <v>3.8</v>
      </c>
      <c r="FH18" s="17" t="s">
        <v>144</v>
      </c>
      <c r="FI18" s="17">
        <v>44.3</v>
      </c>
      <c r="FJ18" s="17">
        <v>3.2</v>
      </c>
      <c r="FK18" s="17">
        <v>44.3</v>
      </c>
      <c r="FL18" s="17"/>
      <c r="FM18" s="17"/>
      <c r="FN18" s="17"/>
      <c r="FO18" s="17">
        <v>120</v>
      </c>
      <c r="FP18" s="17">
        <v>52</v>
      </c>
      <c r="FQ18" s="17">
        <v>75</v>
      </c>
      <c r="FR18" s="17">
        <v>118</v>
      </c>
      <c r="FS18" s="17">
        <v>5.5</v>
      </c>
      <c r="FT18" s="17">
        <v>50</v>
      </c>
      <c r="FU18" s="17" t="s">
        <v>282</v>
      </c>
      <c r="FV18" s="17">
        <v>8</v>
      </c>
      <c r="FW18" s="17">
        <v>10</v>
      </c>
      <c r="FX18" s="17">
        <v>50</v>
      </c>
      <c r="FY18" s="17" t="s">
        <v>144</v>
      </c>
      <c r="FZ18" s="17">
        <v>0</v>
      </c>
      <c r="GA18" s="17">
        <v>2.2000000000000002</v>
      </c>
      <c r="GB18" s="17">
        <v>120.36</v>
      </c>
      <c r="GC18" s="17"/>
      <c r="GD18" s="17"/>
      <c r="GE18" s="17"/>
      <c r="GF18" s="17">
        <v>115</v>
      </c>
      <c r="GG18" s="17">
        <v>46</v>
      </c>
      <c r="GH18" s="17">
        <v>70</v>
      </c>
      <c r="GI18" s="17">
        <v>122</v>
      </c>
      <c r="GJ18" s="17">
        <v>5.5</v>
      </c>
      <c r="GK18" s="17" t="s">
        <v>144</v>
      </c>
      <c r="GL18" s="17">
        <v>0</v>
      </c>
      <c r="GM18" s="17">
        <v>1.8</v>
      </c>
      <c r="GN18" s="17">
        <v>128.96</v>
      </c>
      <c r="GO18" s="17"/>
      <c r="GP18" s="17"/>
      <c r="GQ18" s="17"/>
      <c r="GR18" s="17">
        <v>115</v>
      </c>
      <c r="GS18" s="17">
        <v>43</v>
      </c>
      <c r="GT18" s="17">
        <v>68</v>
      </c>
      <c r="GU18" s="17">
        <v>114</v>
      </c>
      <c r="GV18" s="17">
        <v>5.5</v>
      </c>
      <c r="GW18" s="17" t="s">
        <v>144</v>
      </c>
      <c r="GX18" s="17">
        <v>0</v>
      </c>
      <c r="GY18" s="17">
        <v>2.2999999999999998</v>
      </c>
      <c r="GZ18" s="17">
        <v>113.42</v>
      </c>
      <c r="HA18" s="17"/>
      <c r="HB18" s="17"/>
      <c r="HC18" s="17"/>
      <c r="HD18" s="17"/>
      <c r="HE18" s="17"/>
      <c r="HF18" s="17"/>
      <c r="HG18" s="17">
        <f t="shared" si="0"/>
        <v>-5</v>
      </c>
      <c r="HH18" s="19">
        <f t="shared" si="1"/>
        <v>-0.11337868480725623</v>
      </c>
      <c r="HI18" s="17">
        <f t="shared" si="2"/>
        <v>76.06</v>
      </c>
      <c r="HJ18" s="19">
        <f t="shared" si="3"/>
        <v>1.7169300225733637</v>
      </c>
      <c r="HK18">
        <f>GZ18-FK18</f>
        <v>69.12</v>
      </c>
      <c r="HL18" s="19">
        <f>HK18/FK18</f>
        <v>1.560270880361174</v>
      </c>
      <c r="HM18" s="17">
        <f>GZ18-GB18</f>
        <v>-6.9399999999999977</v>
      </c>
      <c r="HN18" s="17" t="s">
        <v>375</v>
      </c>
      <c r="HO18" s="21">
        <v>194388</v>
      </c>
      <c r="HP18" s="21">
        <v>133852</v>
      </c>
      <c r="HQ18" s="21"/>
      <c r="HR18" s="21"/>
    </row>
    <row r="19" spans="1:226" x14ac:dyDescent="0.35">
      <c r="A19" t="s">
        <v>365</v>
      </c>
      <c r="B19" t="s">
        <v>366</v>
      </c>
      <c r="C19" s="3">
        <v>27646</v>
      </c>
      <c r="D19">
        <v>48</v>
      </c>
      <c r="E19">
        <v>75</v>
      </c>
      <c r="F19">
        <v>175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J19" s="3">
        <v>45210</v>
      </c>
      <c r="AK19" t="s">
        <v>39</v>
      </c>
      <c r="AL19">
        <v>0</v>
      </c>
      <c r="AM19">
        <v>0</v>
      </c>
      <c r="AN19">
        <v>1</v>
      </c>
      <c r="AO19">
        <v>0</v>
      </c>
      <c r="AP19">
        <v>0</v>
      </c>
      <c r="AR19">
        <v>10</v>
      </c>
      <c r="AS19">
        <v>4</v>
      </c>
      <c r="AT19">
        <v>0</v>
      </c>
      <c r="AU19">
        <v>0</v>
      </c>
      <c r="AV19">
        <v>0</v>
      </c>
      <c r="AW19">
        <v>3</v>
      </c>
      <c r="AX19">
        <v>3</v>
      </c>
      <c r="AY19">
        <v>9.9</v>
      </c>
      <c r="AZ19">
        <v>6.2</v>
      </c>
      <c r="BA19">
        <v>50</v>
      </c>
      <c r="BB19">
        <v>47</v>
      </c>
      <c r="BC19">
        <v>5.8</v>
      </c>
      <c r="BD19">
        <v>71</v>
      </c>
      <c r="BE19">
        <v>138</v>
      </c>
      <c r="BF19">
        <v>106</v>
      </c>
      <c r="BG19">
        <v>190</v>
      </c>
      <c r="BK19">
        <v>7.41</v>
      </c>
      <c r="BL19">
        <v>84</v>
      </c>
      <c r="BM19">
        <v>34</v>
      </c>
      <c r="BN19">
        <v>22</v>
      </c>
      <c r="BO19">
        <v>3.3</v>
      </c>
      <c r="BP19">
        <v>33</v>
      </c>
      <c r="BQ19">
        <v>36</v>
      </c>
      <c r="BR19">
        <v>153</v>
      </c>
      <c r="BS19">
        <v>28</v>
      </c>
      <c r="BT19">
        <v>409</v>
      </c>
      <c r="BV19" s="3">
        <v>45211</v>
      </c>
      <c r="BW19" t="s">
        <v>367</v>
      </c>
      <c r="BX19">
        <v>75</v>
      </c>
      <c r="BZ19">
        <v>4</v>
      </c>
      <c r="CA19">
        <v>0</v>
      </c>
      <c r="CB19">
        <v>0</v>
      </c>
      <c r="CC19">
        <v>0</v>
      </c>
      <c r="CD19">
        <v>4</v>
      </c>
      <c r="CE19">
        <v>2</v>
      </c>
      <c r="CF19">
        <v>9.5</v>
      </c>
      <c r="CG19">
        <v>8.1999999999999993</v>
      </c>
      <c r="CH19">
        <v>69</v>
      </c>
      <c r="CI19">
        <v>47</v>
      </c>
      <c r="CJ19">
        <v>5.8</v>
      </c>
      <c r="CK19">
        <v>71</v>
      </c>
      <c r="CL19">
        <v>138</v>
      </c>
      <c r="CM19">
        <v>106</v>
      </c>
      <c r="CN19">
        <v>250</v>
      </c>
      <c r="CR19">
        <v>7.48</v>
      </c>
      <c r="CS19">
        <v>69</v>
      </c>
      <c r="CT19">
        <v>33</v>
      </c>
      <c r="CU19">
        <v>25</v>
      </c>
      <c r="CV19">
        <v>4.0999999999999996</v>
      </c>
      <c r="CW19">
        <v>35</v>
      </c>
      <c r="CX19">
        <v>38</v>
      </c>
      <c r="CY19">
        <v>147</v>
      </c>
      <c r="CZ19">
        <v>30</v>
      </c>
      <c r="DA19">
        <v>443</v>
      </c>
      <c r="DB19">
        <v>45</v>
      </c>
      <c r="DC19">
        <v>1</v>
      </c>
      <c r="DD19">
        <v>2</v>
      </c>
      <c r="DE19">
        <v>100</v>
      </c>
      <c r="DF19">
        <v>500</v>
      </c>
      <c r="DG19">
        <v>200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105</v>
      </c>
      <c r="DP19">
        <v>51</v>
      </c>
      <c r="DQ19">
        <v>70</v>
      </c>
      <c r="DR19">
        <v>107</v>
      </c>
      <c r="DS19">
        <v>38.1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8</v>
      </c>
      <c r="EA19">
        <v>50</v>
      </c>
      <c r="EB19" t="s">
        <v>144</v>
      </c>
      <c r="EC19" t="s">
        <v>144</v>
      </c>
      <c r="ED19" t="s">
        <v>144</v>
      </c>
      <c r="EE19" t="s">
        <v>144</v>
      </c>
      <c r="EF19">
        <v>0.7</v>
      </c>
      <c r="EG19">
        <v>5.5</v>
      </c>
      <c r="EH19" t="s">
        <v>144</v>
      </c>
      <c r="EI19" t="s">
        <v>144</v>
      </c>
      <c r="EJ19" t="s">
        <v>144</v>
      </c>
      <c r="EK19">
        <v>0</v>
      </c>
      <c r="EL19">
        <v>2.8</v>
      </c>
      <c r="EM19">
        <v>107.34</v>
      </c>
      <c r="EQ19">
        <v>108</v>
      </c>
      <c r="ER19">
        <v>51</v>
      </c>
      <c r="ES19">
        <v>71</v>
      </c>
      <c r="ET19">
        <v>104</v>
      </c>
      <c r="EU19">
        <v>7.9</v>
      </c>
      <c r="EX19">
        <v>2.9</v>
      </c>
      <c r="EY19">
        <v>187.21</v>
      </c>
      <c r="FC19">
        <v>166</v>
      </c>
      <c r="FD19">
        <v>53</v>
      </c>
      <c r="FE19">
        <v>71</v>
      </c>
      <c r="FF19">
        <v>105</v>
      </c>
      <c r="FG19">
        <v>7.9</v>
      </c>
      <c r="FJ19">
        <v>2.7</v>
      </c>
      <c r="FK19">
        <v>161.79</v>
      </c>
      <c r="FO19">
        <v>115</v>
      </c>
      <c r="FP19">
        <v>56</v>
      </c>
      <c r="FQ19">
        <v>77</v>
      </c>
      <c r="FR19">
        <v>105</v>
      </c>
      <c r="FS19">
        <v>8.1</v>
      </c>
      <c r="FT19">
        <v>50</v>
      </c>
      <c r="GA19">
        <v>2.1</v>
      </c>
      <c r="GB19">
        <v>482.53</v>
      </c>
      <c r="GF19">
        <v>99</v>
      </c>
      <c r="GG19">
        <v>50</v>
      </c>
      <c r="GH19">
        <v>67</v>
      </c>
      <c r="GI19">
        <v>107</v>
      </c>
      <c r="GR19">
        <v>99</v>
      </c>
      <c r="GS19">
        <v>50</v>
      </c>
      <c r="GT19">
        <v>67</v>
      </c>
      <c r="GU19">
        <v>107</v>
      </c>
      <c r="GY19">
        <v>1.9</v>
      </c>
      <c r="GZ19">
        <v>360.73</v>
      </c>
      <c r="HG19">
        <f t="shared" si="0"/>
        <v>79.87</v>
      </c>
      <c r="HH19" s="16">
        <f t="shared" si="1"/>
        <v>0.74408421837152972</v>
      </c>
      <c r="HI19">
        <f t="shared" si="2"/>
        <v>320.74</v>
      </c>
      <c r="HJ19" s="16">
        <f t="shared" si="3"/>
        <v>1.9824463811113173</v>
      </c>
      <c r="HK19">
        <f>GZ19-FK19</f>
        <v>198.94000000000003</v>
      </c>
      <c r="HO19">
        <v>314745</v>
      </c>
      <c r="HP19">
        <v>19423</v>
      </c>
    </row>
    <row r="20" spans="1:226" x14ac:dyDescent="0.35">
      <c r="A20" t="s">
        <v>196</v>
      </c>
      <c r="B20" t="s">
        <v>197</v>
      </c>
      <c r="C20" s="3">
        <v>34756</v>
      </c>
      <c r="D20">
        <v>28</v>
      </c>
      <c r="E20">
        <v>107</v>
      </c>
      <c r="F20">
        <v>155</v>
      </c>
      <c r="G20">
        <v>31.2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144</v>
      </c>
      <c r="AF20">
        <v>0</v>
      </c>
      <c r="AG20">
        <v>0</v>
      </c>
      <c r="AH20">
        <v>0</v>
      </c>
      <c r="AI20">
        <v>0</v>
      </c>
      <c r="AJ20" s="3">
        <v>44978</v>
      </c>
      <c r="AK20" t="s">
        <v>198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36</v>
      </c>
      <c r="AR20">
        <v>5</v>
      </c>
      <c r="AS20">
        <v>0</v>
      </c>
      <c r="AT20">
        <v>3</v>
      </c>
      <c r="AU20">
        <v>2</v>
      </c>
      <c r="AV20">
        <v>0</v>
      </c>
      <c r="AW20">
        <v>0</v>
      </c>
      <c r="AX20">
        <v>0</v>
      </c>
      <c r="AY20">
        <v>16.07</v>
      </c>
      <c r="AZ20">
        <v>9.3000000000000007</v>
      </c>
      <c r="BA20">
        <v>477</v>
      </c>
      <c r="BB20">
        <v>53</v>
      </c>
      <c r="BC20">
        <v>5.7</v>
      </c>
      <c r="BD20">
        <v>45</v>
      </c>
      <c r="BE20">
        <v>150</v>
      </c>
      <c r="BF20">
        <v>109</v>
      </c>
      <c r="BG20">
        <v>12</v>
      </c>
      <c r="BH20">
        <v>620</v>
      </c>
      <c r="BI20">
        <v>15.37</v>
      </c>
      <c r="BJ20" t="s">
        <v>144</v>
      </c>
      <c r="BK20">
        <v>7.54</v>
      </c>
      <c r="BL20">
        <v>47</v>
      </c>
      <c r="BM20">
        <v>75</v>
      </c>
      <c r="BN20">
        <v>40</v>
      </c>
      <c r="BO20">
        <v>1.7</v>
      </c>
      <c r="BP20">
        <v>31</v>
      </c>
      <c r="BQ20">
        <v>22</v>
      </c>
      <c r="BR20">
        <v>49</v>
      </c>
      <c r="BS20">
        <v>15</v>
      </c>
      <c r="BT20">
        <v>868</v>
      </c>
      <c r="BU20">
        <v>91</v>
      </c>
      <c r="BV20" s="3">
        <v>44948</v>
      </c>
      <c r="BW20" t="s">
        <v>199</v>
      </c>
      <c r="BX20">
        <v>107</v>
      </c>
      <c r="BY20">
        <v>14</v>
      </c>
      <c r="BZ20">
        <v>4</v>
      </c>
      <c r="CA20">
        <v>3</v>
      </c>
      <c r="CB20">
        <v>4</v>
      </c>
      <c r="CC20">
        <v>0</v>
      </c>
      <c r="CD20">
        <v>0</v>
      </c>
      <c r="CE20">
        <v>0</v>
      </c>
      <c r="CF20">
        <v>14.86</v>
      </c>
      <c r="CG20">
        <v>8.9</v>
      </c>
      <c r="CH20">
        <v>488</v>
      </c>
      <c r="CI20">
        <v>53</v>
      </c>
      <c r="CJ20">
        <v>4.9000000000000004</v>
      </c>
      <c r="CK20">
        <v>42</v>
      </c>
      <c r="CL20">
        <v>138</v>
      </c>
      <c r="CM20">
        <v>100</v>
      </c>
      <c r="CN20">
        <v>12</v>
      </c>
      <c r="CO20" t="s">
        <v>144</v>
      </c>
      <c r="CP20" t="s">
        <v>144</v>
      </c>
      <c r="CQ20" t="s">
        <v>144</v>
      </c>
      <c r="CR20">
        <v>7.39</v>
      </c>
      <c r="CS20">
        <v>57</v>
      </c>
      <c r="CT20">
        <v>46</v>
      </c>
      <c r="CU20">
        <v>28</v>
      </c>
      <c r="CV20">
        <v>2.2000000000000002</v>
      </c>
      <c r="CW20">
        <v>59</v>
      </c>
      <c r="CX20" t="s">
        <v>144</v>
      </c>
      <c r="CY20">
        <v>43</v>
      </c>
      <c r="CZ20">
        <v>11</v>
      </c>
      <c r="DA20">
        <v>835</v>
      </c>
      <c r="DB20">
        <v>107</v>
      </c>
      <c r="DC20">
        <v>3</v>
      </c>
      <c r="DD20">
        <v>2</v>
      </c>
      <c r="DE20">
        <v>100</v>
      </c>
      <c r="DF20">
        <v>500</v>
      </c>
      <c r="DG20">
        <v>0</v>
      </c>
      <c r="DH20">
        <v>0</v>
      </c>
      <c r="DI20">
        <v>0</v>
      </c>
      <c r="DJ20">
        <v>0</v>
      </c>
      <c r="DK20">
        <v>100</v>
      </c>
      <c r="DL20">
        <v>0</v>
      </c>
      <c r="DM20">
        <v>0</v>
      </c>
      <c r="DN20">
        <v>0</v>
      </c>
      <c r="DO20">
        <v>151</v>
      </c>
      <c r="DP20">
        <v>83</v>
      </c>
      <c r="DQ20">
        <v>105</v>
      </c>
      <c r="DR20">
        <v>148</v>
      </c>
      <c r="DS20">
        <v>39.5</v>
      </c>
      <c r="DT20">
        <v>0</v>
      </c>
      <c r="DU20">
        <v>0</v>
      </c>
      <c r="DV20">
        <v>1</v>
      </c>
      <c r="DW20">
        <v>10</v>
      </c>
      <c r="DX20">
        <v>100</v>
      </c>
      <c r="DY20">
        <v>60</v>
      </c>
      <c r="DZ20">
        <v>7.3</v>
      </c>
      <c r="EA20">
        <v>50</v>
      </c>
      <c r="EB20">
        <v>12</v>
      </c>
      <c r="EC20">
        <v>50</v>
      </c>
      <c r="ED20">
        <v>0</v>
      </c>
      <c r="EE20">
        <v>0</v>
      </c>
      <c r="EF20">
        <v>0.8</v>
      </c>
      <c r="EG20">
        <v>9.5</v>
      </c>
      <c r="EH20">
        <v>14</v>
      </c>
      <c r="EI20" t="s">
        <v>144</v>
      </c>
      <c r="EJ20">
        <v>5</v>
      </c>
      <c r="EK20">
        <v>0</v>
      </c>
      <c r="EL20">
        <v>2.5299999999999998</v>
      </c>
      <c r="EM20">
        <v>34.72</v>
      </c>
      <c r="EN20">
        <v>4.83</v>
      </c>
      <c r="EO20">
        <v>21.27</v>
      </c>
      <c r="EP20">
        <v>53.47</v>
      </c>
      <c r="EQ20">
        <v>144</v>
      </c>
      <c r="ER20">
        <v>80</v>
      </c>
      <c r="ES20">
        <v>99</v>
      </c>
      <c r="ET20">
        <v>148</v>
      </c>
      <c r="EU20">
        <v>8.1999999999999993</v>
      </c>
      <c r="EV20">
        <v>18</v>
      </c>
      <c r="EW20">
        <v>0</v>
      </c>
      <c r="EX20">
        <v>1.55</v>
      </c>
      <c r="EY20">
        <v>91.04</v>
      </c>
      <c r="EZ20">
        <v>31.12</v>
      </c>
      <c r="FA20">
        <v>20.72</v>
      </c>
      <c r="FB20">
        <v>156.91999999999999</v>
      </c>
      <c r="FC20">
        <v>144</v>
      </c>
      <c r="FD20">
        <v>86</v>
      </c>
      <c r="FE20">
        <v>100</v>
      </c>
      <c r="FF20">
        <v>144</v>
      </c>
      <c r="FG20">
        <v>9</v>
      </c>
      <c r="FH20">
        <v>17</v>
      </c>
      <c r="FI20">
        <v>0</v>
      </c>
      <c r="FJ20">
        <v>2.12</v>
      </c>
      <c r="FK20">
        <v>67.92</v>
      </c>
      <c r="FL20">
        <v>22.51</v>
      </c>
      <c r="FM20">
        <v>26.15</v>
      </c>
      <c r="FN20">
        <v>112</v>
      </c>
      <c r="FO20">
        <v>143</v>
      </c>
      <c r="FP20">
        <v>76</v>
      </c>
      <c r="FQ20">
        <v>97</v>
      </c>
      <c r="FR20">
        <v>136</v>
      </c>
      <c r="FS20">
        <v>7.4</v>
      </c>
      <c r="FY20">
        <v>12</v>
      </c>
      <c r="FZ20">
        <v>0</v>
      </c>
      <c r="GA20">
        <v>1.32</v>
      </c>
      <c r="GB20">
        <v>209.74</v>
      </c>
      <c r="GC20">
        <v>11.86</v>
      </c>
      <c r="GD20">
        <v>175.48</v>
      </c>
      <c r="GE20">
        <v>233.34</v>
      </c>
      <c r="HE20">
        <v>1</v>
      </c>
      <c r="HG20">
        <f t="shared" si="0"/>
        <v>56.320000000000007</v>
      </c>
      <c r="HH20" s="16">
        <f t="shared" si="1"/>
        <v>1.6221198156682031</v>
      </c>
      <c r="HI20">
        <f t="shared" si="2"/>
        <v>141.82</v>
      </c>
      <c r="HJ20" s="16">
        <f t="shared" si="3"/>
        <v>2.0880447585394579</v>
      </c>
      <c r="HL20" s="16"/>
      <c r="HO20" t="s">
        <v>387</v>
      </c>
    </row>
    <row r="21" spans="1:226" s="4" customFormat="1" x14ac:dyDescent="0.35">
      <c r="A21" t="s">
        <v>341</v>
      </c>
      <c r="B21" t="s">
        <v>342</v>
      </c>
      <c r="C21" s="3">
        <v>16072</v>
      </c>
      <c r="D21">
        <v>79</v>
      </c>
      <c r="E21">
        <v>63</v>
      </c>
      <c r="F21">
        <v>170</v>
      </c>
      <c r="G21"/>
      <c r="H21">
        <v>0</v>
      </c>
      <c r="I21">
        <v>1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144</v>
      </c>
      <c r="AF21"/>
      <c r="AG21"/>
      <c r="AH21"/>
      <c r="AI21"/>
      <c r="AJ21" s="3">
        <v>45177</v>
      </c>
      <c r="AK21" t="s">
        <v>343</v>
      </c>
      <c r="AL21">
        <v>1</v>
      </c>
      <c r="AM21">
        <v>1</v>
      </c>
      <c r="AN21">
        <v>0</v>
      </c>
      <c r="AO21">
        <v>0</v>
      </c>
      <c r="AP21">
        <v>0</v>
      </c>
      <c r="AQ21"/>
      <c r="AR21">
        <v>9</v>
      </c>
      <c r="AS21">
        <v>4</v>
      </c>
      <c r="AT21">
        <v>0</v>
      </c>
      <c r="AU21">
        <v>1</v>
      </c>
      <c r="AV21">
        <v>3</v>
      </c>
      <c r="AW21">
        <v>0</v>
      </c>
      <c r="AX21">
        <v>2</v>
      </c>
      <c r="AY21">
        <v>36</v>
      </c>
      <c r="AZ21">
        <v>13.7</v>
      </c>
      <c r="BA21">
        <v>55</v>
      </c>
      <c r="BB21">
        <v>55</v>
      </c>
      <c r="BC21">
        <v>18.600000000000001</v>
      </c>
      <c r="BD21">
        <v>312</v>
      </c>
      <c r="BE21">
        <v>133</v>
      </c>
      <c r="BF21">
        <v>104</v>
      </c>
      <c r="BG21">
        <v>8</v>
      </c>
      <c r="BH21"/>
      <c r="BI21">
        <v>375</v>
      </c>
      <c r="BJ21"/>
      <c r="BK21">
        <v>7.36</v>
      </c>
      <c r="BL21">
        <v>114</v>
      </c>
      <c r="BM21">
        <v>21</v>
      </c>
      <c r="BN21">
        <v>12</v>
      </c>
      <c r="BO21">
        <v>5.9</v>
      </c>
      <c r="BP21">
        <v>54</v>
      </c>
      <c r="BQ21">
        <v>57</v>
      </c>
      <c r="BR21">
        <v>47</v>
      </c>
      <c r="BS21">
        <v>64</v>
      </c>
      <c r="BT21">
        <v>401</v>
      </c>
      <c r="BU21">
        <v>149</v>
      </c>
      <c r="BV21" s="3">
        <v>45177</v>
      </c>
      <c r="BW21" t="s">
        <v>318</v>
      </c>
      <c r="BX21">
        <v>79</v>
      </c>
      <c r="BY21">
        <v>9</v>
      </c>
      <c r="BZ21">
        <v>4</v>
      </c>
      <c r="CA21">
        <v>0</v>
      </c>
      <c r="CB21">
        <v>0</v>
      </c>
      <c r="CC21">
        <v>3</v>
      </c>
      <c r="CD21">
        <v>0</v>
      </c>
      <c r="CE21">
        <v>2</v>
      </c>
      <c r="CF21">
        <v>36</v>
      </c>
      <c r="CG21">
        <v>13.7</v>
      </c>
      <c r="CH21">
        <v>55</v>
      </c>
      <c r="CI21">
        <v>55</v>
      </c>
      <c r="CJ21">
        <v>18.600000000000001</v>
      </c>
      <c r="CK21">
        <v>312</v>
      </c>
      <c r="CL21">
        <v>133</v>
      </c>
      <c r="CM21">
        <v>104</v>
      </c>
      <c r="CN21">
        <v>8</v>
      </c>
      <c r="CO21"/>
      <c r="CP21">
        <v>375</v>
      </c>
      <c r="CQ21"/>
      <c r="CR21">
        <v>7.36</v>
      </c>
      <c r="CS21">
        <v>114</v>
      </c>
      <c r="CT21">
        <v>21</v>
      </c>
      <c r="CU21">
        <v>12</v>
      </c>
      <c r="CV21">
        <v>5.9</v>
      </c>
      <c r="CW21">
        <v>54</v>
      </c>
      <c r="CX21">
        <v>57</v>
      </c>
      <c r="CY21">
        <v>47</v>
      </c>
      <c r="CZ21">
        <v>64</v>
      </c>
      <c r="DA21">
        <v>401</v>
      </c>
      <c r="DB21">
        <v>149</v>
      </c>
      <c r="DC21">
        <v>1</v>
      </c>
      <c r="DD21">
        <v>2</v>
      </c>
      <c r="DE21">
        <v>500</v>
      </c>
      <c r="DF21">
        <v>2000</v>
      </c>
      <c r="DG21">
        <v>100</v>
      </c>
      <c r="DH21">
        <v>0.4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160</v>
      </c>
      <c r="DP21">
        <v>54</v>
      </c>
      <c r="DQ21">
        <v>70</v>
      </c>
      <c r="DR21">
        <v>101</v>
      </c>
      <c r="DS21">
        <v>36.6</v>
      </c>
      <c r="DT21">
        <v>1</v>
      </c>
      <c r="DU21">
        <v>0</v>
      </c>
      <c r="DV21">
        <v>0</v>
      </c>
      <c r="DW21">
        <v>0</v>
      </c>
      <c r="DX21"/>
      <c r="DY21">
        <v>3</v>
      </c>
      <c r="DZ21">
        <v>4.7</v>
      </c>
      <c r="EA21">
        <v>50</v>
      </c>
      <c r="EB21">
        <v>8</v>
      </c>
      <c r="EC21">
        <v>100</v>
      </c>
      <c r="ED21">
        <v>0</v>
      </c>
      <c r="EE21">
        <v>0</v>
      </c>
      <c r="EF21">
        <v>0.6</v>
      </c>
      <c r="EG21">
        <v>11</v>
      </c>
      <c r="EH21" t="s">
        <v>144</v>
      </c>
      <c r="EI21" t="s">
        <v>144</v>
      </c>
      <c r="EJ21" t="s">
        <v>144</v>
      </c>
      <c r="EK21">
        <v>1</v>
      </c>
      <c r="EL21">
        <v>3.4</v>
      </c>
      <c r="EM21">
        <v>14.67</v>
      </c>
      <c r="EN21">
        <v>5.5</v>
      </c>
      <c r="EO21">
        <v>6</v>
      </c>
      <c r="EP21">
        <v>43</v>
      </c>
      <c r="EQ21">
        <v>185</v>
      </c>
      <c r="ER21">
        <v>58</v>
      </c>
      <c r="ES21">
        <v>93</v>
      </c>
      <c r="ET21">
        <v>76</v>
      </c>
      <c r="EU21">
        <v>3.7</v>
      </c>
      <c r="EV21"/>
      <c r="EW21">
        <v>1</v>
      </c>
      <c r="EX21">
        <v>1.9</v>
      </c>
      <c r="EY21">
        <v>78.12</v>
      </c>
      <c r="EZ21"/>
      <c r="FA21"/>
      <c r="FB21"/>
      <c r="FC21">
        <v>204</v>
      </c>
      <c r="FD21">
        <v>63</v>
      </c>
      <c r="FE21">
        <v>103</v>
      </c>
      <c r="FF21">
        <v>77</v>
      </c>
      <c r="FG21">
        <v>5.0999999999999996</v>
      </c>
      <c r="FH21"/>
      <c r="FI21">
        <v>1</v>
      </c>
      <c r="FJ21">
        <v>3.1</v>
      </c>
      <c r="FK21">
        <v>20.8</v>
      </c>
      <c r="FL21"/>
      <c r="FM21"/>
      <c r="FN21"/>
      <c r="FO21">
        <v>105</v>
      </c>
      <c r="FP21">
        <v>48</v>
      </c>
      <c r="FQ21">
        <v>67</v>
      </c>
      <c r="FR21">
        <v>89</v>
      </c>
      <c r="FS21">
        <v>4.0999999999999996</v>
      </c>
      <c r="FT21">
        <v>50</v>
      </c>
      <c r="FU21"/>
      <c r="FV21"/>
      <c r="FW21"/>
      <c r="FX21"/>
      <c r="FY21"/>
      <c r="FZ21">
        <v>0</v>
      </c>
      <c r="GA21">
        <v>2.9</v>
      </c>
      <c r="GB21">
        <v>91.99</v>
      </c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>
        <v>98</v>
      </c>
      <c r="GS21">
        <v>47</v>
      </c>
      <c r="GT21">
        <v>64</v>
      </c>
      <c r="GU21">
        <v>89</v>
      </c>
      <c r="GV21">
        <v>3.9</v>
      </c>
      <c r="GW21"/>
      <c r="GX21">
        <v>0</v>
      </c>
      <c r="GY21">
        <v>2.7</v>
      </c>
      <c r="GZ21">
        <v>94.51</v>
      </c>
      <c r="HA21"/>
      <c r="HB21"/>
      <c r="HC21"/>
      <c r="HD21"/>
      <c r="HE21"/>
      <c r="HF21"/>
      <c r="HG21">
        <f t="shared" si="0"/>
        <v>63.45</v>
      </c>
      <c r="HH21" s="16">
        <f t="shared" si="1"/>
        <v>4.3251533742331292</v>
      </c>
      <c r="HI21">
        <f t="shared" si="2"/>
        <v>71.19</v>
      </c>
      <c r="HJ21" s="16">
        <f t="shared" si="3"/>
        <v>3.4225961538461536</v>
      </c>
      <c r="HK21">
        <f>GZ21-FK21</f>
        <v>73.710000000000008</v>
      </c>
      <c r="HL21" s="16">
        <f>HK21/FK21</f>
        <v>3.5437500000000002</v>
      </c>
      <c r="HM21">
        <f>GZ21-GB21</f>
        <v>2.5200000000000102</v>
      </c>
      <c r="HN21"/>
      <c r="HO21">
        <v>119233</v>
      </c>
      <c r="HP21">
        <v>88177</v>
      </c>
      <c r="HQ21"/>
      <c r="HR21"/>
    </row>
    <row r="22" spans="1:226" x14ac:dyDescent="0.35">
      <c r="A22" t="s">
        <v>361</v>
      </c>
      <c r="B22" t="s">
        <v>362</v>
      </c>
      <c r="C22" s="3">
        <v>16750</v>
      </c>
      <c r="D22">
        <v>77</v>
      </c>
      <c r="E22">
        <v>89</v>
      </c>
      <c r="F22">
        <v>187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J22" s="3">
        <v>45184</v>
      </c>
      <c r="AK22" t="s">
        <v>363</v>
      </c>
      <c r="AL22">
        <v>1</v>
      </c>
      <c r="AM22">
        <v>0</v>
      </c>
      <c r="AN22">
        <v>0</v>
      </c>
      <c r="AO22">
        <v>0</v>
      </c>
      <c r="AP22">
        <v>0</v>
      </c>
      <c r="AR22">
        <v>7</v>
      </c>
      <c r="AS22">
        <v>1</v>
      </c>
      <c r="AT22">
        <v>0</v>
      </c>
      <c r="AU22">
        <v>1</v>
      </c>
      <c r="AV22">
        <v>1</v>
      </c>
      <c r="AW22">
        <v>4</v>
      </c>
      <c r="AX22">
        <v>0</v>
      </c>
      <c r="AY22">
        <v>31.1</v>
      </c>
      <c r="AZ22">
        <v>18.399999999999999</v>
      </c>
      <c r="BA22">
        <v>213</v>
      </c>
      <c r="BB22">
        <v>69</v>
      </c>
      <c r="BC22">
        <v>9.1</v>
      </c>
      <c r="BD22">
        <v>112</v>
      </c>
      <c r="BE22">
        <v>141</v>
      </c>
      <c r="BF22">
        <v>106</v>
      </c>
      <c r="BG22">
        <v>227</v>
      </c>
      <c r="BH22">
        <v>43</v>
      </c>
      <c r="BK22">
        <v>7.49</v>
      </c>
      <c r="BL22">
        <v>72</v>
      </c>
      <c r="BM22">
        <v>25</v>
      </c>
      <c r="BN22">
        <v>19</v>
      </c>
      <c r="BO22">
        <v>2.9</v>
      </c>
      <c r="BR22">
        <v>122</v>
      </c>
      <c r="BS22">
        <v>125</v>
      </c>
      <c r="BT22">
        <v>1292</v>
      </c>
      <c r="BU22">
        <v>128</v>
      </c>
      <c r="BV22" s="3">
        <v>45279</v>
      </c>
      <c r="BY22">
        <v>9</v>
      </c>
      <c r="BZ22">
        <v>0</v>
      </c>
      <c r="CA22">
        <v>3</v>
      </c>
      <c r="CB22">
        <v>1</v>
      </c>
      <c r="CC22">
        <v>1</v>
      </c>
      <c r="CD22">
        <v>4</v>
      </c>
      <c r="CE22">
        <v>0</v>
      </c>
      <c r="CF22">
        <v>13.6</v>
      </c>
      <c r="CG22">
        <v>13.1</v>
      </c>
      <c r="CH22">
        <v>213</v>
      </c>
      <c r="CI22">
        <v>61</v>
      </c>
      <c r="CJ22">
        <v>17</v>
      </c>
      <c r="CK22">
        <v>166</v>
      </c>
      <c r="CL22">
        <v>145</v>
      </c>
      <c r="CM22">
        <v>112</v>
      </c>
      <c r="CN22">
        <v>248</v>
      </c>
      <c r="CR22">
        <v>7.42</v>
      </c>
      <c r="CS22">
        <v>148</v>
      </c>
      <c r="CT22">
        <v>32</v>
      </c>
      <c r="CU22">
        <v>21</v>
      </c>
      <c r="CV22">
        <v>1.5</v>
      </c>
      <c r="CW22">
        <v>59</v>
      </c>
      <c r="CY22">
        <v>77</v>
      </c>
      <c r="CZ22">
        <v>80</v>
      </c>
      <c r="DA22">
        <v>1688</v>
      </c>
      <c r="DB22">
        <v>47</v>
      </c>
      <c r="DC22">
        <v>2</v>
      </c>
      <c r="DD22">
        <v>2</v>
      </c>
      <c r="DE22">
        <v>100</v>
      </c>
      <c r="DF22">
        <v>500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123</v>
      </c>
      <c r="DP22">
        <v>76</v>
      </c>
      <c r="DQ22">
        <v>91</v>
      </c>
      <c r="DR22">
        <v>97</v>
      </c>
      <c r="DS22">
        <v>37.5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3</v>
      </c>
      <c r="EK22">
        <v>4</v>
      </c>
      <c r="EL22">
        <v>2.2999999999999998</v>
      </c>
      <c r="EM22">
        <v>50.55</v>
      </c>
      <c r="EN22">
        <v>11.99</v>
      </c>
      <c r="EO22">
        <v>21</v>
      </c>
      <c r="EP22">
        <v>77</v>
      </c>
      <c r="EQ22">
        <v>146</v>
      </c>
      <c r="ER22">
        <v>89</v>
      </c>
      <c r="ES22">
        <v>104</v>
      </c>
      <c r="ET22">
        <v>98</v>
      </c>
      <c r="EX22">
        <v>1.7</v>
      </c>
      <c r="EY22">
        <v>115.54</v>
      </c>
      <c r="FC22">
        <v>118</v>
      </c>
      <c r="FD22">
        <v>73</v>
      </c>
      <c r="FE22">
        <v>88</v>
      </c>
      <c r="FF22">
        <v>98</v>
      </c>
      <c r="FI22">
        <v>4</v>
      </c>
      <c r="FJ22">
        <v>2.1</v>
      </c>
      <c r="FK22">
        <v>16.47</v>
      </c>
      <c r="FO22">
        <v>131</v>
      </c>
      <c r="FP22">
        <v>71</v>
      </c>
      <c r="FQ22">
        <v>98</v>
      </c>
      <c r="FR22">
        <v>98</v>
      </c>
      <c r="FZ22">
        <v>4</v>
      </c>
      <c r="GA22">
        <v>1.4</v>
      </c>
      <c r="GB22">
        <v>109.23</v>
      </c>
      <c r="GR22">
        <v>131</v>
      </c>
      <c r="GS22">
        <v>71</v>
      </c>
      <c r="GT22">
        <v>98</v>
      </c>
      <c r="GU22">
        <v>97</v>
      </c>
      <c r="GX22">
        <v>3</v>
      </c>
      <c r="GY22">
        <v>0.6</v>
      </c>
      <c r="GZ22">
        <v>176.49</v>
      </c>
      <c r="HA22" t="s">
        <v>364</v>
      </c>
      <c r="HG22">
        <f t="shared" si="0"/>
        <v>64.990000000000009</v>
      </c>
      <c r="HH22" s="16">
        <f t="shared" si="1"/>
        <v>1.2856577645895155</v>
      </c>
      <c r="HI22">
        <f t="shared" si="2"/>
        <v>92.76</v>
      </c>
      <c r="HJ22" s="16">
        <f t="shared" si="3"/>
        <v>5.632058287795993</v>
      </c>
      <c r="HK22">
        <f>GZ22-FK22</f>
        <v>160.02000000000001</v>
      </c>
      <c r="HO22">
        <v>179669</v>
      </c>
      <c r="HP22">
        <v>152408</v>
      </c>
    </row>
  </sheetData>
  <autoFilter ref="A1:HR1" xr:uid="{00000000-0009-0000-0000-000001000000}">
    <sortState ref="A2:HR22">
      <sortCondition ref="HJ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O23"/>
  <sheetViews>
    <sheetView topLeftCell="HD4" zoomScale="70" zoomScaleNormal="70" workbookViewId="0">
      <pane xSplit="9950" ySplit="5100" topLeftCell="A28" activePane="topRight"/>
      <selection sqref="A1:XFD1"/>
      <selection pane="topRight" activeCell="HO10" sqref="HO10:HO23"/>
      <selection pane="bottomLeft" activeCell="HH32" sqref="HH32:HH33"/>
      <selection pane="bottomRight" activeCell="HN27" sqref="HN27"/>
    </sheetView>
  </sheetViews>
  <sheetFormatPr baseColWidth="10" defaultRowHeight="14.5" x14ac:dyDescent="0.35"/>
  <cols>
    <col min="217" max="217" width="30.7265625" bestFit="1" customWidth="1"/>
  </cols>
  <sheetData>
    <row r="1" spans="1:223" x14ac:dyDescent="0.3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6" t="s">
        <v>50</v>
      </c>
      <c r="AZ1" s="6" t="s">
        <v>70</v>
      </c>
      <c r="BA1" s="6" t="s">
        <v>51</v>
      </c>
      <c r="BB1" s="6" t="s">
        <v>71</v>
      </c>
      <c r="BC1" s="6" t="s">
        <v>72</v>
      </c>
      <c r="BD1" s="6" t="s">
        <v>73</v>
      </c>
      <c r="BE1" s="6" t="s">
        <v>74</v>
      </c>
      <c r="BF1" s="6" t="s">
        <v>75</v>
      </c>
      <c r="BG1" s="6" t="s">
        <v>76</v>
      </c>
      <c r="BH1" s="6" t="s">
        <v>77</v>
      </c>
      <c r="BI1" s="6" t="s">
        <v>78</v>
      </c>
      <c r="BJ1" s="6" t="s">
        <v>79</v>
      </c>
      <c r="BK1" s="6" t="s">
        <v>80</v>
      </c>
      <c r="BL1" s="6" t="s">
        <v>81</v>
      </c>
      <c r="BM1" s="6" t="s">
        <v>82</v>
      </c>
      <c r="BN1" s="6" t="s">
        <v>83</v>
      </c>
      <c r="BO1" s="6" t="s">
        <v>84</v>
      </c>
      <c r="BP1" s="6" t="s">
        <v>85</v>
      </c>
      <c r="BQ1" s="6" t="s">
        <v>86</v>
      </c>
      <c r="BR1" s="6" t="s">
        <v>87</v>
      </c>
      <c r="BS1" s="6" t="s">
        <v>88</v>
      </c>
      <c r="BT1" s="6" t="s">
        <v>89</v>
      </c>
      <c r="BU1" s="6" t="s">
        <v>90</v>
      </c>
      <c r="BV1" s="14" t="s">
        <v>147</v>
      </c>
      <c r="BW1" s="14" t="s">
        <v>148</v>
      </c>
      <c r="BX1" s="14" t="s">
        <v>149</v>
      </c>
      <c r="BY1" s="14" t="s">
        <v>150</v>
      </c>
      <c r="BZ1" s="14" t="s">
        <v>44</v>
      </c>
      <c r="CA1" s="14" t="s">
        <v>45</v>
      </c>
      <c r="CB1" s="14" t="s">
        <v>46</v>
      </c>
      <c r="CC1" s="14" t="s">
        <v>47</v>
      </c>
      <c r="CD1" s="14" t="s">
        <v>48</v>
      </c>
      <c r="CE1" s="14" t="s">
        <v>69</v>
      </c>
      <c r="CF1" s="14" t="s">
        <v>145</v>
      </c>
      <c r="CG1" s="14" t="s">
        <v>151</v>
      </c>
      <c r="CH1" s="14" t="s">
        <v>152</v>
      </c>
      <c r="CI1" s="14" t="s">
        <v>153</v>
      </c>
      <c r="CJ1" s="14" t="s">
        <v>154</v>
      </c>
      <c r="CK1" s="14" t="s">
        <v>155</v>
      </c>
      <c r="CL1" s="14" t="s">
        <v>156</v>
      </c>
      <c r="CM1" s="14" t="s">
        <v>157</v>
      </c>
      <c r="CN1" s="14" t="s">
        <v>158</v>
      </c>
      <c r="CO1" s="14" t="s">
        <v>159</v>
      </c>
      <c r="CP1" s="14" t="s">
        <v>160</v>
      </c>
      <c r="CQ1" s="14" t="s">
        <v>161</v>
      </c>
      <c r="CR1" s="14" t="s">
        <v>162</v>
      </c>
      <c r="CS1" s="14" t="s">
        <v>163</v>
      </c>
      <c r="CT1" s="14" t="s">
        <v>164</v>
      </c>
      <c r="CU1" s="14" t="s">
        <v>165</v>
      </c>
      <c r="CV1" s="14" t="s">
        <v>174</v>
      </c>
      <c r="CW1" s="14" t="s">
        <v>166</v>
      </c>
      <c r="CX1" s="14" t="s">
        <v>167</v>
      </c>
      <c r="CY1" s="14" t="s">
        <v>168</v>
      </c>
      <c r="CZ1" s="14" t="s">
        <v>169</v>
      </c>
      <c r="DA1" s="14" t="s">
        <v>170</v>
      </c>
      <c r="DB1" s="14" t="s">
        <v>171</v>
      </c>
      <c r="DC1" s="14" t="s">
        <v>175</v>
      </c>
      <c r="DD1" s="8" t="s">
        <v>92</v>
      </c>
      <c r="DE1" s="8" t="s">
        <v>91</v>
      </c>
      <c r="DF1" s="9" t="s">
        <v>255</v>
      </c>
      <c r="DG1" s="9" t="s">
        <v>256</v>
      </c>
      <c r="DH1" s="10" t="s">
        <v>52</v>
      </c>
      <c r="DI1" s="10" t="s">
        <v>53</v>
      </c>
      <c r="DJ1" s="10" t="s">
        <v>54</v>
      </c>
      <c r="DK1" s="10" t="s">
        <v>55</v>
      </c>
      <c r="DL1" s="10" t="s">
        <v>56</v>
      </c>
      <c r="DM1" s="10" t="s">
        <v>57</v>
      </c>
      <c r="DN1" s="10" t="s">
        <v>58</v>
      </c>
      <c r="DO1" s="10" t="s">
        <v>93</v>
      </c>
      <c r="DP1" s="10" t="s">
        <v>94</v>
      </c>
      <c r="DQ1" s="10" t="s">
        <v>95</v>
      </c>
      <c r="DR1" s="10" t="s">
        <v>96</v>
      </c>
      <c r="DS1" s="10" t="s">
        <v>97</v>
      </c>
      <c r="DT1" s="10" t="s">
        <v>98</v>
      </c>
      <c r="DU1" s="10" t="s">
        <v>99</v>
      </c>
      <c r="DV1" s="10" t="s">
        <v>100</v>
      </c>
      <c r="DW1" s="10" t="s">
        <v>101</v>
      </c>
      <c r="DX1" s="10" t="s">
        <v>102</v>
      </c>
      <c r="DY1" s="10" t="s">
        <v>103</v>
      </c>
      <c r="DZ1" s="10" t="s">
        <v>104</v>
      </c>
      <c r="EA1" s="10" t="s">
        <v>105</v>
      </c>
      <c r="EB1" s="10" t="s">
        <v>106</v>
      </c>
      <c r="EC1" s="10" t="s">
        <v>107</v>
      </c>
      <c r="ED1" s="10" t="s">
        <v>108</v>
      </c>
      <c r="EE1" s="10" t="s">
        <v>109</v>
      </c>
      <c r="EF1" s="10" t="s">
        <v>110</v>
      </c>
      <c r="EG1" s="10" t="s">
        <v>111</v>
      </c>
      <c r="EH1" s="10" t="s">
        <v>112</v>
      </c>
      <c r="EI1" s="10" t="s">
        <v>118</v>
      </c>
      <c r="EJ1" s="10" t="s">
        <v>119</v>
      </c>
      <c r="EK1" s="10" t="s">
        <v>113</v>
      </c>
      <c r="EL1" s="10" t="s">
        <v>114</v>
      </c>
      <c r="EM1" s="10" t="s">
        <v>115</v>
      </c>
      <c r="EN1" s="10" t="s">
        <v>116</v>
      </c>
      <c r="EO1" s="10" t="s">
        <v>117</v>
      </c>
      <c r="EP1" s="10" t="s">
        <v>120</v>
      </c>
      <c r="EQ1" s="5" t="s">
        <v>122</v>
      </c>
      <c r="ER1" s="5" t="s">
        <v>121</v>
      </c>
      <c r="ES1" s="5" t="s">
        <v>59</v>
      </c>
      <c r="ET1" s="5" t="s">
        <v>60</v>
      </c>
      <c r="EU1" s="5" t="s">
        <v>61</v>
      </c>
      <c r="EV1" s="5" t="s">
        <v>62</v>
      </c>
      <c r="EW1" s="5" t="s">
        <v>63</v>
      </c>
      <c r="EX1" s="5" t="s">
        <v>64</v>
      </c>
      <c r="EY1" s="5" t="s">
        <v>65</v>
      </c>
      <c r="EZ1" s="5" t="s">
        <v>66</v>
      </c>
      <c r="FA1" s="5" t="s">
        <v>67</v>
      </c>
      <c r="FB1" s="5" t="s">
        <v>68</v>
      </c>
      <c r="FC1" s="13" t="s">
        <v>123</v>
      </c>
      <c r="FD1" s="13" t="s">
        <v>124</v>
      </c>
      <c r="FE1" s="13" t="s">
        <v>125</v>
      </c>
      <c r="FF1" s="13" t="s">
        <v>126</v>
      </c>
      <c r="FG1" s="13" t="s">
        <v>127</v>
      </c>
      <c r="FH1" s="13" t="s">
        <v>128</v>
      </c>
      <c r="FI1" s="13" t="s">
        <v>63</v>
      </c>
      <c r="FJ1" s="13" t="s">
        <v>129</v>
      </c>
      <c r="FK1" s="13" t="s">
        <v>130</v>
      </c>
      <c r="FL1" s="13" t="s">
        <v>66</v>
      </c>
      <c r="FM1" s="13" t="s">
        <v>67</v>
      </c>
      <c r="FN1" s="13" t="s">
        <v>68</v>
      </c>
      <c r="FO1" s="12" t="s">
        <v>131</v>
      </c>
      <c r="FP1" s="12" t="s">
        <v>132</v>
      </c>
      <c r="FQ1" s="12" t="s">
        <v>133</v>
      </c>
      <c r="FR1" s="12" t="s">
        <v>134</v>
      </c>
      <c r="FS1" s="12" t="s">
        <v>135</v>
      </c>
      <c r="FT1" s="12" t="s">
        <v>30</v>
      </c>
      <c r="FU1" s="12" t="s">
        <v>261</v>
      </c>
      <c r="FV1" s="12" t="s">
        <v>262</v>
      </c>
      <c r="FW1" s="12" t="s">
        <v>263</v>
      </c>
      <c r="FX1" s="12" t="s">
        <v>264</v>
      </c>
      <c r="FY1" s="12" t="s">
        <v>136</v>
      </c>
      <c r="FZ1" s="12" t="s">
        <v>63</v>
      </c>
      <c r="GA1" s="12" t="s">
        <v>137</v>
      </c>
      <c r="GB1" s="12" t="s">
        <v>138</v>
      </c>
      <c r="GC1" s="12" t="s">
        <v>139</v>
      </c>
      <c r="GD1" s="12" t="s">
        <v>140</v>
      </c>
      <c r="GE1" s="12" t="s">
        <v>141</v>
      </c>
      <c r="GF1" s="11" t="s">
        <v>269</v>
      </c>
      <c r="GG1" s="11" t="s">
        <v>270</v>
      </c>
      <c r="GH1" s="11" t="s">
        <v>271</v>
      </c>
      <c r="GI1" s="11" t="s">
        <v>272</v>
      </c>
      <c r="GJ1" s="11" t="s">
        <v>61</v>
      </c>
      <c r="GK1" s="11" t="s">
        <v>273</v>
      </c>
      <c r="GL1" s="11" t="s">
        <v>63</v>
      </c>
      <c r="GM1" s="11" t="s">
        <v>274</v>
      </c>
      <c r="GN1" s="11" t="s">
        <v>275</v>
      </c>
      <c r="GO1" s="11" t="s">
        <v>66</v>
      </c>
      <c r="GP1" s="11" t="s">
        <v>67</v>
      </c>
      <c r="GQ1" s="11" t="s">
        <v>68</v>
      </c>
      <c r="GR1" s="15" t="s">
        <v>276</v>
      </c>
      <c r="GS1" s="15" t="s">
        <v>270</v>
      </c>
      <c r="GT1" s="15" t="s">
        <v>271</v>
      </c>
      <c r="GU1" s="15" t="s">
        <v>60</v>
      </c>
      <c r="GV1" s="15" t="s">
        <v>61</v>
      </c>
      <c r="GW1" s="15" t="s">
        <v>273</v>
      </c>
      <c r="GX1" s="15" t="s">
        <v>63</v>
      </c>
      <c r="GY1" s="15" t="s">
        <v>64</v>
      </c>
      <c r="GZ1" s="15" t="s">
        <v>130</v>
      </c>
      <c r="HA1" s="15" t="s">
        <v>66</v>
      </c>
      <c r="HB1" s="15" t="s">
        <v>67</v>
      </c>
      <c r="HC1" s="15" t="s">
        <v>68</v>
      </c>
      <c r="HD1" s="4" t="s">
        <v>278</v>
      </c>
      <c r="HE1" s="4" t="s">
        <v>277</v>
      </c>
      <c r="HF1" s="4" t="s">
        <v>177</v>
      </c>
      <c r="HG1" s="4" t="s">
        <v>324</v>
      </c>
      <c r="HH1" s="4" t="s">
        <v>334</v>
      </c>
      <c r="HI1" s="4" t="s">
        <v>325</v>
      </c>
      <c r="HJ1" s="4" t="s">
        <v>334</v>
      </c>
      <c r="HK1" s="4" t="s">
        <v>332</v>
      </c>
      <c r="HL1" s="4" t="s">
        <v>334</v>
      </c>
      <c r="HM1" s="4" t="s">
        <v>333</v>
      </c>
      <c r="HN1" s="4" t="s">
        <v>335</v>
      </c>
      <c r="HO1" s="4" t="s">
        <v>389</v>
      </c>
    </row>
    <row r="2" spans="1:223" x14ac:dyDescent="0.35">
      <c r="A2" t="s">
        <v>312</v>
      </c>
      <c r="B2" t="s">
        <v>313</v>
      </c>
      <c r="C2" s="3">
        <v>27345</v>
      </c>
      <c r="D2">
        <v>48</v>
      </c>
      <c r="E2">
        <v>51</v>
      </c>
      <c r="F2">
        <v>170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314</v>
      </c>
      <c r="AJ2" s="3">
        <v>45138</v>
      </c>
      <c r="AK2" t="s">
        <v>315</v>
      </c>
      <c r="AL2">
        <v>0</v>
      </c>
      <c r="AM2">
        <v>0</v>
      </c>
      <c r="AN2">
        <v>0</v>
      </c>
      <c r="AO2">
        <v>0</v>
      </c>
      <c r="AP2">
        <v>0</v>
      </c>
      <c r="AR2">
        <v>2</v>
      </c>
      <c r="AS2">
        <v>0</v>
      </c>
      <c r="AT2">
        <v>0</v>
      </c>
      <c r="AU2">
        <v>1</v>
      </c>
      <c r="AV2">
        <v>0</v>
      </c>
      <c r="AW2">
        <v>0</v>
      </c>
      <c r="AX2">
        <v>1</v>
      </c>
      <c r="AY2">
        <v>13.9</v>
      </c>
      <c r="AZ2">
        <v>11.6</v>
      </c>
      <c r="BA2">
        <v>148</v>
      </c>
      <c r="BB2">
        <v>66</v>
      </c>
      <c r="BC2">
        <v>2</v>
      </c>
      <c r="BD2">
        <v>47</v>
      </c>
      <c r="BE2">
        <v>129</v>
      </c>
      <c r="BF2">
        <v>98</v>
      </c>
      <c r="BG2">
        <v>16</v>
      </c>
      <c r="BH2">
        <v>15</v>
      </c>
      <c r="BI2">
        <v>0.34</v>
      </c>
      <c r="BJ2">
        <v>29</v>
      </c>
      <c r="BK2">
        <v>6.97</v>
      </c>
      <c r="BL2">
        <v>280</v>
      </c>
      <c r="BM2">
        <v>12</v>
      </c>
      <c r="BN2">
        <v>3</v>
      </c>
      <c r="BO2">
        <v>1.6</v>
      </c>
      <c r="BP2">
        <v>67</v>
      </c>
      <c r="BQ2">
        <v>231</v>
      </c>
      <c r="BR2">
        <v>506</v>
      </c>
      <c r="BS2">
        <v>185</v>
      </c>
      <c r="BT2">
        <v>965</v>
      </c>
      <c r="BU2">
        <v>117</v>
      </c>
      <c r="BV2" s="3">
        <v>45139</v>
      </c>
      <c r="BW2" t="s">
        <v>186</v>
      </c>
      <c r="BX2">
        <v>51</v>
      </c>
      <c r="BY2">
        <v>4</v>
      </c>
      <c r="BZ2">
        <v>1</v>
      </c>
      <c r="CA2">
        <v>0</v>
      </c>
      <c r="CB2">
        <v>1</v>
      </c>
      <c r="CC2">
        <v>0</v>
      </c>
      <c r="CD2">
        <v>0</v>
      </c>
      <c r="CE2">
        <v>2</v>
      </c>
      <c r="CF2">
        <v>11</v>
      </c>
      <c r="CG2">
        <v>10.3</v>
      </c>
      <c r="CH2">
        <v>99</v>
      </c>
      <c r="CI2">
        <v>64</v>
      </c>
      <c r="CJ2">
        <v>1.9</v>
      </c>
      <c r="CK2">
        <v>58</v>
      </c>
      <c r="CL2">
        <v>133</v>
      </c>
      <c r="CM2">
        <v>100</v>
      </c>
      <c r="CN2">
        <v>19</v>
      </c>
      <c r="CO2" t="s">
        <v>282</v>
      </c>
      <c r="CP2" t="s">
        <v>282</v>
      </c>
      <c r="CQ2" t="s">
        <v>282</v>
      </c>
      <c r="CR2">
        <v>7.25</v>
      </c>
      <c r="CS2">
        <v>114</v>
      </c>
      <c r="CT2">
        <v>16</v>
      </c>
      <c r="CU2">
        <v>7</v>
      </c>
      <c r="CV2">
        <v>0.8</v>
      </c>
      <c r="CW2" t="s">
        <v>144</v>
      </c>
      <c r="CX2" t="s">
        <v>144</v>
      </c>
      <c r="CY2">
        <v>320</v>
      </c>
      <c r="CZ2">
        <v>140</v>
      </c>
      <c r="DA2" t="s">
        <v>144</v>
      </c>
      <c r="DB2" t="s">
        <v>144</v>
      </c>
      <c r="DC2">
        <v>1</v>
      </c>
      <c r="DD2">
        <v>1</v>
      </c>
      <c r="DE2">
        <v>500</v>
      </c>
      <c r="DF2">
        <v>2000</v>
      </c>
      <c r="DG2">
        <v>2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94</v>
      </c>
      <c r="DP2">
        <v>73</v>
      </c>
      <c r="DQ2">
        <v>81</v>
      </c>
      <c r="DR2">
        <v>107</v>
      </c>
      <c r="DS2">
        <v>36.5</v>
      </c>
      <c r="DT2">
        <v>1</v>
      </c>
      <c r="DU2">
        <v>0</v>
      </c>
      <c r="DV2">
        <v>0</v>
      </c>
      <c r="DW2">
        <v>0</v>
      </c>
      <c r="DY2">
        <v>0</v>
      </c>
      <c r="DZ2">
        <v>2.8</v>
      </c>
      <c r="EA2">
        <v>30</v>
      </c>
      <c r="EB2">
        <v>15</v>
      </c>
      <c r="EC2">
        <v>50</v>
      </c>
      <c r="ED2">
        <v>0</v>
      </c>
      <c r="EE2">
        <v>0</v>
      </c>
      <c r="EF2">
        <v>1</v>
      </c>
      <c r="EG2">
        <v>7.4</v>
      </c>
      <c r="EH2" t="s">
        <v>144</v>
      </c>
      <c r="EI2" t="s">
        <v>144</v>
      </c>
      <c r="EJ2" t="s">
        <v>144</v>
      </c>
      <c r="EK2" t="s">
        <v>144</v>
      </c>
      <c r="EL2">
        <v>1.35</v>
      </c>
      <c r="EM2">
        <v>335</v>
      </c>
      <c r="EN2">
        <v>16.100000000000001</v>
      </c>
      <c r="EO2">
        <v>329.6</v>
      </c>
      <c r="EP2">
        <v>434.4</v>
      </c>
      <c r="EQ2">
        <v>93</v>
      </c>
      <c r="ER2">
        <v>74</v>
      </c>
      <c r="ES2">
        <v>82</v>
      </c>
      <c r="ET2">
        <v>109</v>
      </c>
      <c r="EU2">
        <v>3.2</v>
      </c>
      <c r="EV2" t="s">
        <v>144</v>
      </c>
      <c r="EW2">
        <v>0</v>
      </c>
      <c r="EX2">
        <v>1.1000000000000001</v>
      </c>
      <c r="EY2">
        <v>268</v>
      </c>
      <c r="FC2">
        <v>91</v>
      </c>
      <c r="FD2">
        <v>71</v>
      </c>
      <c r="FE2">
        <v>79</v>
      </c>
      <c r="FF2">
        <v>111</v>
      </c>
      <c r="FG2">
        <v>2.8</v>
      </c>
      <c r="FH2" t="s">
        <v>144</v>
      </c>
      <c r="FI2">
        <v>0</v>
      </c>
      <c r="FJ2">
        <v>2.1</v>
      </c>
      <c r="FK2">
        <v>470</v>
      </c>
      <c r="FO2">
        <v>92</v>
      </c>
      <c r="FP2">
        <v>74</v>
      </c>
      <c r="FQ2">
        <v>81</v>
      </c>
      <c r="FR2">
        <v>101</v>
      </c>
      <c r="FS2">
        <v>3.2</v>
      </c>
      <c r="FZ2">
        <v>0</v>
      </c>
      <c r="GA2">
        <v>0.7</v>
      </c>
      <c r="GB2">
        <v>158</v>
      </c>
      <c r="GF2">
        <v>95</v>
      </c>
      <c r="GG2">
        <v>77</v>
      </c>
      <c r="GH2">
        <v>85</v>
      </c>
      <c r="GI2">
        <v>108</v>
      </c>
      <c r="GJ2">
        <v>3</v>
      </c>
      <c r="GK2" t="s">
        <v>144</v>
      </c>
      <c r="GL2">
        <v>0</v>
      </c>
      <c r="GM2">
        <v>1.05</v>
      </c>
      <c r="GN2">
        <v>296</v>
      </c>
      <c r="GR2">
        <v>100</v>
      </c>
      <c r="GS2">
        <v>77</v>
      </c>
      <c r="GT2">
        <v>86</v>
      </c>
      <c r="GU2">
        <v>105</v>
      </c>
      <c r="GV2">
        <v>3.2</v>
      </c>
      <c r="GW2" t="s">
        <v>144</v>
      </c>
      <c r="GX2">
        <v>0</v>
      </c>
      <c r="GY2">
        <v>0.8</v>
      </c>
      <c r="GZ2">
        <v>370.1</v>
      </c>
      <c r="HG2">
        <f t="shared" ref="HG2:HG23" si="0">EY2-EM2</f>
        <v>-67</v>
      </c>
      <c r="HH2" s="16">
        <f t="shared" ref="HH2:HH23" si="1">HG2/EM2</f>
        <v>-0.2</v>
      </c>
      <c r="HI2">
        <f t="shared" ref="HI2:HI13" si="2">GB2-FK2</f>
        <v>-312</v>
      </c>
      <c r="HJ2" s="16">
        <f t="shared" ref="HJ2:HJ13" si="3">HI2/FK2</f>
        <v>-0.66382978723404251</v>
      </c>
      <c r="HK2">
        <f t="shared" ref="HK2:HK8" si="4">GZ2-FK2</f>
        <v>-99.899999999999977</v>
      </c>
      <c r="HL2" s="16">
        <f t="shared" ref="HL2:HL8" si="5">HK2/FK2</f>
        <v>-0.21255319148936166</v>
      </c>
      <c r="HM2">
        <f t="shared" ref="HM2:HM8" si="6">GZ2-GB2</f>
        <v>212.10000000000002</v>
      </c>
      <c r="HO2" s="17">
        <v>-147536</v>
      </c>
    </row>
    <row r="3" spans="1:223" x14ac:dyDescent="0.35">
      <c r="A3" t="s">
        <v>346</v>
      </c>
      <c r="B3" t="s">
        <v>347</v>
      </c>
      <c r="C3" s="3">
        <v>18139</v>
      </c>
      <c r="D3">
        <v>74</v>
      </c>
      <c r="E3">
        <v>60</v>
      </c>
      <c r="F3">
        <v>177</v>
      </c>
      <c r="H3">
        <v>0</v>
      </c>
      <c r="I3">
        <v>1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0</v>
      </c>
      <c r="X3">
        <v>0</v>
      </c>
      <c r="Y3">
        <v>1</v>
      </c>
      <c r="Z3">
        <v>1</v>
      </c>
      <c r="AA3">
        <v>0</v>
      </c>
      <c r="AB3">
        <v>1</v>
      </c>
      <c r="AC3">
        <v>0</v>
      </c>
      <c r="AD3">
        <v>1</v>
      </c>
      <c r="AE3">
        <v>50</v>
      </c>
      <c r="AJ3" s="3">
        <v>45171</v>
      </c>
      <c r="AK3" t="s">
        <v>351</v>
      </c>
      <c r="AL3">
        <v>1</v>
      </c>
      <c r="AM3">
        <v>1</v>
      </c>
      <c r="AN3">
        <v>0</v>
      </c>
      <c r="AO3">
        <v>0</v>
      </c>
      <c r="AP3">
        <v>0</v>
      </c>
      <c r="AR3">
        <v>11</v>
      </c>
      <c r="AS3">
        <v>4</v>
      </c>
      <c r="AT3">
        <v>1</v>
      </c>
      <c r="AU3">
        <v>2</v>
      </c>
      <c r="AV3">
        <v>1</v>
      </c>
      <c r="AW3">
        <v>1</v>
      </c>
      <c r="AX3">
        <v>2</v>
      </c>
      <c r="AY3">
        <v>16.399999999999999</v>
      </c>
      <c r="AZ3">
        <v>11.3</v>
      </c>
      <c r="BA3">
        <v>80</v>
      </c>
      <c r="BB3">
        <v>68</v>
      </c>
      <c r="BC3">
        <v>12</v>
      </c>
      <c r="BD3">
        <v>143</v>
      </c>
      <c r="BE3">
        <v>134</v>
      </c>
      <c r="BF3">
        <v>98</v>
      </c>
      <c r="BG3">
        <v>21</v>
      </c>
      <c r="BH3">
        <v>386</v>
      </c>
      <c r="BK3">
        <v>7.5</v>
      </c>
      <c r="BL3">
        <v>77</v>
      </c>
      <c r="BM3">
        <v>28</v>
      </c>
      <c r="BN3">
        <v>22</v>
      </c>
      <c r="BO3">
        <v>2.1</v>
      </c>
      <c r="BP3">
        <v>67</v>
      </c>
      <c r="BQ3">
        <v>87</v>
      </c>
      <c r="BR3">
        <v>480</v>
      </c>
      <c r="BS3">
        <v>96</v>
      </c>
      <c r="BT3">
        <v>826</v>
      </c>
      <c r="BU3">
        <v>13761</v>
      </c>
      <c r="BV3" s="3">
        <v>45173</v>
      </c>
      <c r="BW3" t="s">
        <v>352</v>
      </c>
      <c r="BX3">
        <v>60.5</v>
      </c>
      <c r="BY3">
        <v>12</v>
      </c>
      <c r="BZ3">
        <v>4</v>
      </c>
      <c r="CA3">
        <v>1</v>
      </c>
      <c r="CB3">
        <v>1</v>
      </c>
      <c r="CC3">
        <v>3</v>
      </c>
      <c r="CD3">
        <v>1</v>
      </c>
      <c r="CE3">
        <v>2</v>
      </c>
      <c r="CF3">
        <v>17.399999999999999</v>
      </c>
      <c r="CG3">
        <v>8.3000000000000007</v>
      </c>
      <c r="CH3">
        <v>56</v>
      </c>
      <c r="CI3">
        <v>56</v>
      </c>
      <c r="CJ3">
        <v>21</v>
      </c>
      <c r="CK3">
        <v>312</v>
      </c>
      <c r="CL3">
        <v>127</v>
      </c>
      <c r="CM3">
        <v>98</v>
      </c>
      <c r="CN3">
        <v>22</v>
      </c>
      <c r="CR3">
        <v>7.33</v>
      </c>
      <c r="CS3">
        <v>77</v>
      </c>
      <c r="CT3">
        <v>41</v>
      </c>
      <c r="CU3">
        <v>20</v>
      </c>
      <c r="CV3">
        <v>1.2</v>
      </c>
      <c r="CW3">
        <v>71</v>
      </c>
      <c r="CY3">
        <v>371</v>
      </c>
      <c r="CZ3">
        <v>89</v>
      </c>
      <c r="DA3">
        <v>979</v>
      </c>
      <c r="DB3">
        <v>4698</v>
      </c>
      <c r="DC3">
        <v>1</v>
      </c>
      <c r="DD3">
        <v>1</v>
      </c>
      <c r="DE3">
        <v>500</v>
      </c>
      <c r="DF3">
        <v>0</v>
      </c>
      <c r="DG3">
        <v>0</v>
      </c>
      <c r="DH3">
        <v>0.13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112</v>
      </c>
      <c r="DP3">
        <v>61</v>
      </c>
      <c r="DQ3">
        <v>78</v>
      </c>
      <c r="DR3">
        <v>96</v>
      </c>
      <c r="DS3">
        <v>37.200000000000003</v>
      </c>
      <c r="DT3">
        <v>1</v>
      </c>
      <c r="DU3">
        <v>0</v>
      </c>
      <c r="DV3">
        <v>0</v>
      </c>
      <c r="DW3">
        <v>0</v>
      </c>
      <c r="DX3">
        <v>60</v>
      </c>
      <c r="DY3">
        <v>50</v>
      </c>
      <c r="DZ3">
        <v>5.9</v>
      </c>
      <c r="EA3">
        <v>50</v>
      </c>
      <c r="EB3">
        <v>20</v>
      </c>
      <c r="EC3">
        <v>0</v>
      </c>
      <c r="ED3">
        <v>0</v>
      </c>
      <c r="EE3">
        <v>0</v>
      </c>
      <c r="EF3">
        <v>1.1000000000000001</v>
      </c>
      <c r="EK3">
        <v>0</v>
      </c>
      <c r="EL3">
        <v>1.1000000000000001</v>
      </c>
      <c r="EM3">
        <v>386.94</v>
      </c>
      <c r="EN3">
        <v>21.55</v>
      </c>
      <c r="EO3">
        <v>297</v>
      </c>
      <c r="EP3">
        <v>448</v>
      </c>
      <c r="EQ3">
        <v>102</v>
      </c>
      <c r="ER3">
        <v>49</v>
      </c>
      <c r="ES3">
        <v>70</v>
      </c>
      <c r="ET3">
        <v>93</v>
      </c>
      <c r="EW3">
        <v>0</v>
      </c>
      <c r="EX3">
        <v>1.6</v>
      </c>
      <c r="EY3">
        <v>252.47</v>
      </c>
      <c r="FC3">
        <v>115</v>
      </c>
      <c r="FD3">
        <v>61</v>
      </c>
      <c r="FE3">
        <v>84</v>
      </c>
      <c r="FF3">
        <v>90</v>
      </c>
      <c r="FG3">
        <v>5.9</v>
      </c>
      <c r="FI3">
        <v>0</v>
      </c>
      <c r="FJ3">
        <v>1.2</v>
      </c>
      <c r="FK3">
        <v>365.77</v>
      </c>
      <c r="FO3">
        <v>119</v>
      </c>
      <c r="FP3">
        <v>62</v>
      </c>
      <c r="FQ3">
        <v>87</v>
      </c>
      <c r="FR3">
        <v>93</v>
      </c>
      <c r="FZ3">
        <v>0</v>
      </c>
      <c r="GA3">
        <v>1.3</v>
      </c>
      <c r="GB3">
        <v>154.44999999999999</v>
      </c>
      <c r="GF3">
        <v>122</v>
      </c>
      <c r="GG3">
        <v>61</v>
      </c>
      <c r="GH3">
        <v>87</v>
      </c>
      <c r="GI3">
        <v>91</v>
      </c>
      <c r="GL3">
        <v>0</v>
      </c>
      <c r="GM3">
        <v>0.9</v>
      </c>
      <c r="GN3">
        <v>178.18</v>
      </c>
      <c r="GR3">
        <v>122</v>
      </c>
      <c r="GS3">
        <v>61</v>
      </c>
      <c r="GT3">
        <v>87</v>
      </c>
      <c r="GU3">
        <v>91</v>
      </c>
      <c r="GX3">
        <v>0</v>
      </c>
      <c r="GY3">
        <v>0.9</v>
      </c>
      <c r="GZ3">
        <v>178.18</v>
      </c>
      <c r="HG3">
        <f t="shared" si="0"/>
        <v>-134.47</v>
      </c>
      <c r="HH3" s="16">
        <f t="shared" si="1"/>
        <v>-0.3475215795730604</v>
      </c>
      <c r="HI3">
        <f t="shared" si="2"/>
        <v>-211.32</v>
      </c>
      <c r="HJ3" s="16">
        <f t="shared" si="3"/>
        <v>-0.57774010990513169</v>
      </c>
      <c r="HK3">
        <f t="shared" si="4"/>
        <v>-187.58999999999997</v>
      </c>
      <c r="HL3" s="16">
        <f t="shared" si="5"/>
        <v>-0.51286327473548943</v>
      </c>
      <c r="HM3">
        <f t="shared" si="6"/>
        <v>23.730000000000018</v>
      </c>
      <c r="HO3" s="17">
        <v>-341278</v>
      </c>
    </row>
    <row r="4" spans="1:223" x14ac:dyDescent="0.35">
      <c r="A4" t="s">
        <v>319</v>
      </c>
      <c r="B4" t="s">
        <v>320</v>
      </c>
      <c r="C4" s="3">
        <v>24869</v>
      </c>
      <c r="D4">
        <v>55</v>
      </c>
      <c r="E4">
        <v>47.5</v>
      </c>
      <c r="F4">
        <v>172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 t="s">
        <v>144</v>
      </c>
      <c r="AJ4" s="3">
        <v>45134</v>
      </c>
      <c r="AK4" t="s">
        <v>321</v>
      </c>
      <c r="AL4">
        <v>1</v>
      </c>
      <c r="AM4">
        <v>1</v>
      </c>
      <c r="AN4">
        <v>0</v>
      </c>
      <c r="AO4">
        <v>0</v>
      </c>
      <c r="AP4">
        <v>0</v>
      </c>
      <c r="AR4">
        <v>10</v>
      </c>
      <c r="AS4">
        <v>4</v>
      </c>
      <c r="AT4">
        <v>1</v>
      </c>
      <c r="AU4">
        <v>4</v>
      </c>
      <c r="AV4">
        <v>0</v>
      </c>
      <c r="AW4">
        <v>1</v>
      </c>
      <c r="AX4">
        <v>0</v>
      </c>
      <c r="AY4">
        <v>14</v>
      </c>
      <c r="AZ4">
        <v>13</v>
      </c>
      <c r="BA4">
        <v>170</v>
      </c>
      <c r="BB4">
        <v>94</v>
      </c>
      <c r="BC4">
        <v>3</v>
      </c>
      <c r="BD4">
        <v>51</v>
      </c>
      <c r="BE4">
        <v>136</v>
      </c>
      <c r="BF4">
        <v>106</v>
      </c>
      <c r="BG4">
        <v>24</v>
      </c>
      <c r="BH4">
        <v>48</v>
      </c>
      <c r="BI4">
        <v>0.56000000000000005</v>
      </c>
      <c r="BJ4">
        <v>21</v>
      </c>
      <c r="BK4">
        <v>7.29</v>
      </c>
      <c r="BL4">
        <v>307</v>
      </c>
      <c r="BM4">
        <v>46</v>
      </c>
      <c r="BN4">
        <v>22</v>
      </c>
      <c r="BO4">
        <v>1.6</v>
      </c>
      <c r="BP4">
        <v>59</v>
      </c>
      <c r="BQ4">
        <v>92</v>
      </c>
      <c r="BR4">
        <v>93</v>
      </c>
      <c r="BS4">
        <v>15</v>
      </c>
      <c r="BT4">
        <v>529</v>
      </c>
      <c r="BU4">
        <v>593</v>
      </c>
      <c r="BV4" s="3">
        <v>45138</v>
      </c>
      <c r="BX4">
        <v>52</v>
      </c>
      <c r="BY4">
        <v>7</v>
      </c>
      <c r="BZ4">
        <v>3</v>
      </c>
      <c r="CA4">
        <v>3</v>
      </c>
      <c r="CB4">
        <v>0</v>
      </c>
      <c r="CC4">
        <v>0</v>
      </c>
      <c r="CD4">
        <v>0</v>
      </c>
      <c r="CE4">
        <v>1</v>
      </c>
      <c r="CF4">
        <v>5.9</v>
      </c>
      <c r="CG4">
        <v>10.8</v>
      </c>
      <c r="CH4">
        <v>111</v>
      </c>
      <c r="CI4">
        <v>83</v>
      </c>
      <c r="CJ4">
        <v>8.4</v>
      </c>
      <c r="CK4">
        <v>83</v>
      </c>
      <c r="CL4">
        <v>143</v>
      </c>
      <c r="CM4">
        <v>110</v>
      </c>
      <c r="CN4">
        <v>15</v>
      </c>
      <c r="CO4" t="s">
        <v>144</v>
      </c>
      <c r="CP4" t="s">
        <v>144</v>
      </c>
      <c r="CQ4" t="s">
        <v>144</v>
      </c>
      <c r="CR4">
        <v>7.4</v>
      </c>
      <c r="CS4">
        <v>73</v>
      </c>
      <c r="CT4">
        <v>42</v>
      </c>
      <c r="CU4">
        <v>30</v>
      </c>
      <c r="CV4">
        <v>1.5</v>
      </c>
      <c r="CW4">
        <v>66</v>
      </c>
      <c r="CX4" t="s">
        <v>144</v>
      </c>
      <c r="CY4">
        <v>93</v>
      </c>
      <c r="CZ4">
        <v>25</v>
      </c>
      <c r="DA4">
        <v>533</v>
      </c>
      <c r="DB4">
        <v>223</v>
      </c>
      <c r="DC4">
        <v>1</v>
      </c>
      <c r="DD4">
        <v>1</v>
      </c>
      <c r="DE4">
        <v>500</v>
      </c>
      <c r="DF4">
        <v>0</v>
      </c>
      <c r="DG4">
        <v>0</v>
      </c>
      <c r="DH4">
        <v>0.05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115</v>
      </c>
      <c r="DP4">
        <v>76</v>
      </c>
      <c r="DQ4">
        <v>90</v>
      </c>
      <c r="DR4">
        <v>106</v>
      </c>
      <c r="DS4">
        <v>36.4</v>
      </c>
      <c r="DT4">
        <v>0</v>
      </c>
      <c r="DU4">
        <v>1</v>
      </c>
      <c r="DV4">
        <v>0</v>
      </c>
      <c r="DW4">
        <v>6</v>
      </c>
      <c r="DX4">
        <v>60</v>
      </c>
      <c r="DY4">
        <v>60</v>
      </c>
      <c r="DZ4">
        <v>3.5</v>
      </c>
      <c r="EA4">
        <v>30</v>
      </c>
      <c r="EB4">
        <v>15</v>
      </c>
      <c r="EC4">
        <v>50</v>
      </c>
      <c r="ED4">
        <v>0</v>
      </c>
      <c r="EE4">
        <v>0</v>
      </c>
      <c r="EF4">
        <v>0.8</v>
      </c>
      <c r="EG4">
        <v>5</v>
      </c>
      <c r="EH4" t="s">
        <v>144</v>
      </c>
      <c r="EI4" t="s">
        <v>144</v>
      </c>
      <c r="EJ4" t="s">
        <v>144</v>
      </c>
      <c r="EK4" t="s">
        <v>144</v>
      </c>
      <c r="EL4">
        <v>0.8</v>
      </c>
      <c r="EM4">
        <v>723</v>
      </c>
      <c r="EQ4">
        <v>110</v>
      </c>
      <c r="ER4">
        <v>70</v>
      </c>
      <c r="ES4">
        <v>89</v>
      </c>
      <c r="ET4">
        <v>107</v>
      </c>
      <c r="EU4">
        <v>4.2</v>
      </c>
      <c r="EV4" t="s">
        <v>144</v>
      </c>
      <c r="EW4" t="s">
        <v>144</v>
      </c>
      <c r="EX4">
        <v>0.7</v>
      </c>
      <c r="EY4">
        <v>715</v>
      </c>
      <c r="FC4">
        <v>112</v>
      </c>
      <c r="FD4">
        <v>72</v>
      </c>
      <c r="FE4">
        <v>88</v>
      </c>
      <c r="FF4">
        <v>107</v>
      </c>
      <c r="FG4">
        <v>3.4</v>
      </c>
      <c r="FH4" t="s">
        <v>144</v>
      </c>
      <c r="FI4" t="s">
        <v>144</v>
      </c>
      <c r="FJ4">
        <v>0.9</v>
      </c>
      <c r="FK4">
        <v>741</v>
      </c>
      <c r="FO4">
        <v>117</v>
      </c>
      <c r="FP4">
        <v>79</v>
      </c>
      <c r="FQ4">
        <v>97</v>
      </c>
      <c r="FR4">
        <v>110</v>
      </c>
      <c r="FS4">
        <v>3.5</v>
      </c>
      <c r="GA4">
        <v>0.8</v>
      </c>
      <c r="GB4">
        <v>596</v>
      </c>
      <c r="GF4">
        <v>115</v>
      </c>
      <c r="GG4">
        <v>74</v>
      </c>
      <c r="GH4">
        <v>91</v>
      </c>
      <c r="GI4">
        <v>110</v>
      </c>
      <c r="GJ4">
        <v>3.5</v>
      </c>
      <c r="GM4">
        <v>0.7</v>
      </c>
      <c r="GN4">
        <v>418</v>
      </c>
      <c r="GR4">
        <v>116</v>
      </c>
      <c r="GS4">
        <v>75</v>
      </c>
      <c r="GT4">
        <v>91</v>
      </c>
      <c r="GU4">
        <v>109</v>
      </c>
      <c r="GV4">
        <v>3.5</v>
      </c>
      <c r="GW4" t="s">
        <v>144</v>
      </c>
      <c r="GX4" t="s">
        <v>144</v>
      </c>
      <c r="GY4">
        <v>0.7</v>
      </c>
      <c r="GZ4">
        <v>418</v>
      </c>
      <c r="HG4">
        <f t="shared" si="0"/>
        <v>-8</v>
      </c>
      <c r="HH4" s="20">
        <f t="shared" si="1"/>
        <v>-1.1065006915629323E-2</v>
      </c>
      <c r="HI4">
        <f t="shared" si="2"/>
        <v>-145</v>
      </c>
      <c r="HJ4" s="20">
        <f t="shared" si="3"/>
        <v>-0.19568151147098514</v>
      </c>
      <c r="HK4">
        <f t="shared" si="4"/>
        <v>-323</v>
      </c>
      <c r="HL4" s="20">
        <f t="shared" si="5"/>
        <v>-0.4358974358974359</v>
      </c>
      <c r="HM4">
        <f t="shared" si="6"/>
        <v>-178</v>
      </c>
      <c r="HO4" s="21">
        <v>-221251</v>
      </c>
    </row>
    <row r="5" spans="1:223" x14ac:dyDescent="0.35">
      <c r="A5" t="s">
        <v>295</v>
      </c>
      <c r="B5" t="s">
        <v>296</v>
      </c>
      <c r="C5" s="3">
        <v>28928</v>
      </c>
      <c r="D5">
        <v>44</v>
      </c>
      <c r="E5">
        <v>51.5</v>
      </c>
      <c r="F5">
        <v>165</v>
      </c>
      <c r="H5">
        <v>0</v>
      </c>
      <c r="I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 t="s">
        <v>144</v>
      </c>
      <c r="AJ5" s="3">
        <v>45063</v>
      </c>
      <c r="AK5" t="s">
        <v>297</v>
      </c>
      <c r="AL5">
        <v>0</v>
      </c>
      <c r="AM5">
        <v>0</v>
      </c>
      <c r="AN5">
        <v>0</v>
      </c>
      <c r="AO5">
        <v>0</v>
      </c>
      <c r="AP5">
        <v>0</v>
      </c>
      <c r="AQ5">
        <v>43</v>
      </c>
      <c r="AR5">
        <v>3</v>
      </c>
      <c r="AS5">
        <v>0</v>
      </c>
      <c r="AT5">
        <v>0</v>
      </c>
      <c r="AU5">
        <v>3</v>
      </c>
      <c r="AV5">
        <v>0</v>
      </c>
      <c r="AW5">
        <v>0</v>
      </c>
      <c r="AX5">
        <v>0</v>
      </c>
      <c r="AY5">
        <v>4.54</v>
      </c>
      <c r="AZ5">
        <v>9.6</v>
      </c>
      <c r="BA5">
        <v>240</v>
      </c>
      <c r="BB5">
        <v>87</v>
      </c>
      <c r="BC5">
        <v>6.9</v>
      </c>
      <c r="BD5">
        <v>78</v>
      </c>
      <c r="BE5">
        <v>142</v>
      </c>
      <c r="BF5">
        <v>111</v>
      </c>
      <c r="BG5">
        <v>5</v>
      </c>
      <c r="BH5" t="s">
        <v>144</v>
      </c>
      <c r="BI5" t="s">
        <v>144</v>
      </c>
      <c r="BJ5" t="s">
        <v>144</v>
      </c>
      <c r="BK5">
        <v>7.36</v>
      </c>
      <c r="BL5">
        <v>90</v>
      </c>
      <c r="BM5">
        <v>42</v>
      </c>
      <c r="BN5">
        <v>24</v>
      </c>
      <c r="BO5">
        <v>0.4</v>
      </c>
      <c r="BP5">
        <v>97</v>
      </c>
      <c r="BQ5" t="s">
        <v>144</v>
      </c>
      <c r="BR5">
        <v>115</v>
      </c>
      <c r="BS5">
        <v>81</v>
      </c>
      <c r="BT5">
        <v>499</v>
      </c>
      <c r="BU5">
        <v>175</v>
      </c>
      <c r="BV5" s="3">
        <v>45065</v>
      </c>
      <c r="BW5" t="s">
        <v>294</v>
      </c>
      <c r="BX5">
        <v>52</v>
      </c>
      <c r="BY5">
        <v>3</v>
      </c>
      <c r="BZ5">
        <v>0</v>
      </c>
      <c r="CA5">
        <v>0</v>
      </c>
      <c r="CB5">
        <v>3</v>
      </c>
      <c r="CC5">
        <v>0</v>
      </c>
      <c r="CD5">
        <v>0</v>
      </c>
      <c r="CE5">
        <v>0</v>
      </c>
      <c r="CF5">
        <v>7.17</v>
      </c>
      <c r="CG5">
        <v>9.3000000000000007</v>
      </c>
      <c r="CH5">
        <v>295</v>
      </c>
      <c r="CI5">
        <v>88</v>
      </c>
      <c r="CJ5">
        <v>4.2</v>
      </c>
      <c r="CK5">
        <v>86</v>
      </c>
      <c r="CL5">
        <v>144</v>
      </c>
      <c r="CM5">
        <v>110</v>
      </c>
      <c r="CN5" t="s">
        <v>144</v>
      </c>
      <c r="CO5" t="s">
        <v>144</v>
      </c>
      <c r="CP5" t="s">
        <v>144</v>
      </c>
      <c r="CQ5" t="s">
        <v>144</v>
      </c>
      <c r="CR5" t="s">
        <v>144</v>
      </c>
      <c r="CS5" t="s">
        <v>144</v>
      </c>
      <c r="CT5" t="s">
        <v>144</v>
      </c>
      <c r="CU5" t="s">
        <v>144</v>
      </c>
      <c r="CV5" t="s">
        <v>144</v>
      </c>
      <c r="CW5">
        <v>92</v>
      </c>
      <c r="CX5" t="s">
        <v>144</v>
      </c>
      <c r="CY5">
        <v>115</v>
      </c>
      <c r="CZ5">
        <v>81</v>
      </c>
      <c r="DA5">
        <v>373</v>
      </c>
      <c r="DB5">
        <v>571</v>
      </c>
      <c r="DC5">
        <v>2</v>
      </c>
      <c r="DD5">
        <v>1</v>
      </c>
      <c r="DE5">
        <v>500</v>
      </c>
      <c r="DF5">
        <v>1000</v>
      </c>
      <c r="DG5">
        <v>0</v>
      </c>
      <c r="DH5">
        <v>0</v>
      </c>
      <c r="DI5">
        <v>0</v>
      </c>
      <c r="DJ5">
        <v>0</v>
      </c>
      <c r="DK5">
        <v>250</v>
      </c>
      <c r="DL5">
        <v>10</v>
      </c>
      <c r="DM5">
        <v>0</v>
      </c>
      <c r="DN5">
        <v>0</v>
      </c>
      <c r="DO5">
        <v>143</v>
      </c>
      <c r="DP5">
        <v>75</v>
      </c>
      <c r="DQ5">
        <v>93</v>
      </c>
      <c r="DR5">
        <v>147</v>
      </c>
      <c r="DS5">
        <v>37.5</v>
      </c>
      <c r="DT5">
        <v>0</v>
      </c>
      <c r="DU5">
        <v>1</v>
      </c>
      <c r="DV5">
        <v>0</v>
      </c>
      <c r="DW5">
        <v>5</v>
      </c>
      <c r="DX5">
        <v>30</v>
      </c>
      <c r="DY5">
        <v>60</v>
      </c>
      <c r="DZ5">
        <v>6.3</v>
      </c>
      <c r="EA5">
        <v>50</v>
      </c>
      <c r="EB5">
        <v>12</v>
      </c>
      <c r="EC5">
        <v>100</v>
      </c>
      <c r="ED5">
        <v>0</v>
      </c>
      <c r="EE5">
        <v>0</v>
      </c>
      <c r="EF5">
        <v>1.3</v>
      </c>
      <c r="EG5">
        <v>4.9000000000000004</v>
      </c>
      <c r="EH5" t="s">
        <v>144</v>
      </c>
      <c r="EI5" t="s">
        <v>144</v>
      </c>
      <c r="EJ5" t="s">
        <v>144</v>
      </c>
      <c r="EK5">
        <v>3</v>
      </c>
      <c r="EL5">
        <v>1.1000000000000001</v>
      </c>
      <c r="EM5">
        <v>478.99</v>
      </c>
      <c r="EN5">
        <v>12.9</v>
      </c>
      <c r="EO5">
        <v>441</v>
      </c>
      <c r="EP5">
        <v>518</v>
      </c>
      <c r="EQ5">
        <v>137</v>
      </c>
      <c r="ER5">
        <v>76</v>
      </c>
      <c r="ES5">
        <v>93</v>
      </c>
      <c r="ET5">
        <v>138</v>
      </c>
      <c r="EU5">
        <v>7</v>
      </c>
      <c r="EV5" t="s">
        <v>144</v>
      </c>
      <c r="EW5">
        <v>3</v>
      </c>
      <c r="EX5">
        <v>1.27</v>
      </c>
      <c r="EY5">
        <v>411.96</v>
      </c>
      <c r="EZ5">
        <v>0.8</v>
      </c>
      <c r="FA5">
        <v>241</v>
      </c>
      <c r="FB5">
        <v>496</v>
      </c>
      <c r="FC5">
        <v>130</v>
      </c>
      <c r="FD5">
        <v>77</v>
      </c>
      <c r="FE5">
        <v>91</v>
      </c>
      <c r="FF5">
        <v>142</v>
      </c>
      <c r="FG5">
        <v>5.8</v>
      </c>
      <c r="FH5" t="s">
        <v>144</v>
      </c>
      <c r="FI5">
        <v>3</v>
      </c>
      <c r="FJ5">
        <v>0.8</v>
      </c>
      <c r="FK5">
        <v>431.6</v>
      </c>
      <c r="FL5">
        <v>24.3</v>
      </c>
      <c r="FM5">
        <v>347</v>
      </c>
      <c r="FN5">
        <v>486</v>
      </c>
      <c r="FO5">
        <v>141</v>
      </c>
      <c r="FP5">
        <v>76</v>
      </c>
      <c r="FQ5">
        <v>94</v>
      </c>
      <c r="FR5">
        <v>138</v>
      </c>
      <c r="FS5">
        <v>7.2</v>
      </c>
      <c r="FT5">
        <v>50</v>
      </c>
      <c r="FU5">
        <v>1.7</v>
      </c>
      <c r="FV5">
        <v>7</v>
      </c>
      <c r="FW5">
        <v>15</v>
      </c>
      <c r="FX5">
        <v>100</v>
      </c>
      <c r="FY5" t="s">
        <v>144</v>
      </c>
      <c r="FZ5">
        <v>3</v>
      </c>
      <c r="GA5">
        <v>1.4</v>
      </c>
      <c r="GB5">
        <v>356.7</v>
      </c>
      <c r="GC5">
        <v>22</v>
      </c>
      <c r="GD5">
        <v>287</v>
      </c>
      <c r="GE5">
        <v>431</v>
      </c>
      <c r="GF5">
        <v>131</v>
      </c>
      <c r="GG5">
        <v>74</v>
      </c>
      <c r="GH5">
        <v>90</v>
      </c>
      <c r="GI5">
        <v>138</v>
      </c>
      <c r="GJ5">
        <v>6.3</v>
      </c>
      <c r="GK5" t="s">
        <v>144</v>
      </c>
      <c r="GL5">
        <v>2</v>
      </c>
      <c r="GM5">
        <v>0.6</v>
      </c>
      <c r="GN5">
        <v>459.9</v>
      </c>
      <c r="GO5">
        <v>18</v>
      </c>
      <c r="GP5">
        <v>397</v>
      </c>
      <c r="GQ5">
        <v>525</v>
      </c>
      <c r="GR5">
        <v>125</v>
      </c>
      <c r="GS5">
        <v>76</v>
      </c>
      <c r="GT5">
        <v>89</v>
      </c>
      <c r="GU5">
        <v>134</v>
      </c>
      <c r="GV5">
        <v>7</v>
      </c>
      <c r="GW5" t="s">
        <v>144</v>
      </c>
      <c r="GX5">
        <v>2</v>
      </c>
      <c r="GY5">
        <v>0.7</v>
      </c>
      <c r="GZ5">
        <v>469.22</v>
      </c>
      <c r="HA5">
        <v>14.9</v>
      </c>
      <c r="HB5">
        <v>417</v>
      </c>
      <c r="HC5">
        <v>507</v>
      </c>
      <c r="HD5">
        <v>0</v>
      </c>
      <c r="HE5">
        <v>0</v>
      </c>
      <c r="HG5">
        <f t="shared" si="0"/>
        <v>-67.03000000000003</v>
      </c>
      <c r="HH5" s="16">
        <f t="shared" si="1"/>
        <v>-0.13994029102904032</v>
      </c>
      <c r="HI5">
        <f t="shared" si="2"/>
        <v>-74.900000000000034</v>
      </c>
      <c r="HJ5" s="16">
        <f t="shared" si="3"/>
        <v>-0.17354031510658025</v>
      </c>
      <c r="HK5">
        <f t="shared" si="4"/>
        <v>37.620000000000005</v>
      </c>
      <c r="HL5" s="16">
        <f t="shared" si="5"/>
        <v>8.7164040778498611E-2</v>
      </c>
      <c r="HM5">
        <f t="shared" si="6"/>
        <v>112.52000000000004</v>
      </c>
      <c r="HO5">
        <v>-9680</v>
      </c>
    </row>
    <row r="6" spans="1:223" x14ac:dyDescent="0.35">
      <c r="A6" t="s">
        <v>326</v>
      </c>
      <c r="B6" t="s">
        <v>327</v>
      </c>
      <c r="C6" s="3">
        <v>17542</v>
      </c>
      <c r="D6">
        <v>75</v>
      </c>
      <c r="E6">
        <v>58</v>
      </c>
      <c r="F6">
        <v>165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A6">
        <v>0</v>
      </c>
      <c r="AB6">
        <v>0</v>
      </c>
      <c r="AC6">
        <v>0</v>
      </c>
      <c r="AD6">
        <v>0</v>
      </c>
      <c r="AJ6" s="3">
        <v>45144</v>
      </c>
      <c r="AK6" t="s">
        <v>328</v>
      </c>
      <c r="AL6">
        <v>1</v>
      </c>
      <c r="AM6">
        <v>0</v>
      </c>
      <c r="AN6">
        <v>0</v>
      </c>
      <c r="AO6">
        <v>0</v>
      </c>
      <c r="AP6">
        <v>0</v>
      </c>
      <c r="AQ6">
        <v>38</v>
      </c>
      <c r="AR6">
        <v>7</v>
      </c>
      <c r="AS6">
        <v>1</v>
      </c>
      <c r="AT6">
        <v>2</v>
      </c>
      <c r="AU6">
        <v>3</v>
      </c>
      <c r="AV6">
        <v>0</v>
      </c>
      <c r="AW6">
        <v>1</v>
      </c>
      <c r="AX6">
        <v>0</v>
      </c>
      <c r="AY6">
        <v>8.1</v>
      </c>
      <c r="AZ6">
        <v>14.2</v>
      </c>
      <c r="BA6">
        <v>181</v>
      </c>
      <c r="BB6">
        <v>65</v>
      </c>
      <c r="BC6">
        <v>2.6</v>
      </c>
      <c r="BD6">
        <v>39</v>
      </c>
      <c r="BE6">
        <v>135</v>
      </c>
      <c r="BF6">
        <v>105</v>
      </c>
      <c r="BG6">
        <v>22</v>
      </c>
      <c r="BH6">
        <v>111</v>
      </c>
      <c r="BI6">
        <v>0.02</v>
      </c>
      <c r="BJ6" t="s">
        <v>144</v>
      </c>
      <c r="BK6">
        <v>7.46</v>
      </c>
      <c r="BL6">
        <v>93</v>
      </c>
      <c r="BM6">
        <v>33</v>
      </c>
      <c r="BN6">
        <v>24</v>
      </c>
      <c r="BO6">
        <v>0.9</v>
      </c>
      <c r="BP6">
        <v>100</v>
      </c>
      <c r="BQ6" t="s">
        <v>144</v>
      </c>
      <c r="BR6">
        <v>28</v>
      </c>
      <c r="BS6">
        <v>23</v>
      </c>
      <c r="BT6">
        <v>392</v>
      </c>
      <c r="BU6">
        <v>168</v>
      </c>
      <c r="BV6" s="3">
        <v>45145</v>
      </c>
      <c r="BW6" t="s">
        <v>199</v>
      </c>
      <c r="BX6">
        <v>58</v>
      </c>
      <c r="BY6">
        <v>8</v>
      </c>
      <c r="BZ6">
        <v>1</v>
      </c>
      <c r="CA6">
        <v>2</v>
      </c>
      <c r="CB6">
        <v>3</v>
      </c>
      <c r="CC6">
        <v>0</v>
      </c>
      <c r="CD6">
        <v>2</v>
      </c>
      <c r="CE6">
        <v>0</v>
      </c>
      <c r="CF6">
        <v>10.6</v>
      </c>
      <c r="CG6">
        <v>13.3</v>
      </c>
      <c r="CH6">
        <v>162</v>
      </c>
      <c r="CI6">
        <v>53</v>
      </c>
      <c r="CJ6">
        <v>2.7</v>
      </c>
      <c r="CK6">
        <v>36</v>
      </c>
      <c r="CL6">
        <v>135</v>
      </c>
      <c r="CM6">
        <v>105</v>
      </c>
      <c r="CN6">
        <v>40</v>
      </c>
      <c r="CP6">
        <v>0.3</v>
      </c>
      <c r="CR6">
        <v>7.4</v>
      </c>
      <c r="CS6">
        <v>93</v>
      </c>
      <c r="CT6">
        <v>33</v>
      </c>
      <c r="CU6">
        <v>24</v>
      </c>
      <c r="CV6">
        <v>0.9</v>
      </c>
      <c r="CY6">
        <v>25</v>
      </c>
      <c r="CZ6">
        <v>19</v>
      </c>
      <c r="DA6">
        <v>378</v>
      </c>
      <c r="DB6">
        <v>145</v>
      </c>
      <c r="DC6">
        <v>2</v>
      </c>
      <c r="DD6">
        <v>1</v>
      </c>
      <c r="DE6">
        <v>500</v>
      </c>
      <c r="DF6">
        <v>2000</v>
      </c>
      <c r="DG6">
        <v>0</v>
      </c>
      <c r="DH6">
        <v>0</v>
      </c>
      <c r="DI6">
        <v>0</v>
      </c>
      <c r="DJ6">
        <v>0</v>
      </c>
      <c r="DK6">
        <v>30</v>
      </c>
      <c r="DL6">
        <v>0</v>
      </c>
      <c r="DM6">
        <v>0</v>
      </c>
      <c r="DN6">
        <v>0</v>
      </c>
      <c r="DO6">
        <v>119</v>
      </c>
      <c r="DP6">
        <v>54</v>
      </c>
      <c r="DQ6">
        <v>70</v>
      </c>
      <c r="DR6">
        <v>54</v>
      </c>
      <c r="DS6">
        <v>36.799999999999997</v>
      </c>
      <c r="DT6">
        <v>0</v>
      </c>
      <c r="DU6">
        <v>0</v>
      </c>
      <c r="DV6">
        <v>1</v>
      </c>
      <c r="DW6">
        <v>8</v>
      </c>
      <c r="DX6">
        <v>30</v>
      </c>
      <c r="DY6">
        <v>60</v>
      </c>
      <c r="EK6">
        <v>3</v>
      </c>
      <c r="EL6">
        <v>5.5</v>
      </c>
      <c r="EM6">
        <v>16.670000000000002</v>
      </c>
      <c r="EN6">
        <v>15.7</v>
      </c>
      <c r="EO6">
        <v>7.2</v>
      </c>
      <c r="EP6">
        <v>121.1</v>
      </c>
      <c r="EQ6">
        <v>138</v>
      </c>
      <c r="ER6">
        <v>72</v>
      </c>
      <c r="ES6">
        <v>91</v>
      </c>
      <c r="ET6">
        <v>72</v>
      </c>
      <c r="EW6">
        <v>3</v>
      </c>
      <c r="EX6">
        <v>5.3</v>
      </c>
      <c r="EY6">
        <v>10.83</v>
      </c>
      <c r="FC6">
        <v>148</v>
      </c>
      <c r="FD6">
        <v>66</v>
      </c>
      <c r="FE6">
        <v>90</v>
      </c>
      <c r="FF6">
        <v>69</v>
      </c>
      <c r="FI6">
        <v>3</v>
      </c>
      <c r="FJ6">
        <v>6.1</v>
      </c>
      <c r="FK6">
        <v>11.27</v>
      </c>
      <c r="FO6">
        <v>149</v>
      </c>
      <c r="FP6">
        <v>61</v>
      </c>
      <c r="FQ6">
        <v>82</v>
      </c>
      <c r="FR6">
        <v>70</v>
      </c>
      <c r="FZ6">
        <v>3</v>
      </c>
      <c r="GA6">
        <v>5.8</v>
      </c>
      <c r="GB6">
        <v>9.85</v>
      </c>
      <c r="GF6">
        <v>139</v>
      </c>
      <c r="GG6">
        <v>86</v>
      </c>
      <c r="GH6">
        <v>102</v>
      </c>
      <c r="GI6">
        <v>70</v>
      </c>
      <c r="GL6">
        <v>3</v>
      </c>
      <c r="GM6">
        <v>5.0999999999999996</v>
      </c>
      <c r="GN6">
        <v>8.75</v>
      </c>
      <c r="GR6">
        <v>135</v>
      </c>
      <c r="GS6">
        <v>57</v>
      </c>
      <c r="GT6">
        <v>80</v>
      </c>
      <c r="GU6">
        <v>61</v>
      </c>
      <c r="GX6">
        <v>3</v>
      </c>
      <c r="GY6">
        <v>5.4</v>
      </c>
      <c r="GZ6">
        <v>9.39</v>
      </c>
      <c r="HG6">
        <f t="shared" si="0"/>
        <v>-5.8400000000000016</v>
      </c>
      <c r="HH6" s="16">
        <f t="shared" si="1"/>
        <v>-0.3503299340131974</v>
      </c>
      <c r="HI6">
        <f t="shared" si="2"/>
        <v>-1.42</v>
      </c>
      <c r="HJ6" s="16">
        <f t="shared" si="3"/>
        <v>-0.12599822537710736</v>
      </c>
      <c r="HK6">
        <f t="shared" si="4"/>
        <v>-1.879999999999999</v>
      </c>
      <c r="HL6" s="16">
        <f t="shared" si="5"/>
        <v>-0.16681455190771952</v>
      </c>
      <c r="HM6">
        <f t="shared" si="6"/>
        <v>-0.45999999999999908</v>
      </c>
      <c r="HO6">
        <v>1777</v>
      </c>
    </row>
    <row r="7" spans="1:223" x14ac:dyDescent="0.35">
      <c r="A7" t="s">
        <v>290</v>
      </c>
      <c r="B7" t="s">
        <v>291</v>
      </c>
      <c r="C7" s="3">
        <v>17227</v>
      </c>
      <c r="D7">
        <v>76</v>
      </c>
      <c r="E7">
        <v>64</v>
      </c>
      <c r="F7">
        <v>159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 t="s">
        <v>144</v>
      </c>
      <c r="AJ7" s="3">
        <v>45147</v>
      </c>
      <c r="AK7" t="s">
        <v>285</v>
      </c>
      <c r="AL7">
        <v>1</v>
      </c>
      <c r="AM7">
        <v>1</v>
      </c>
      <c r="AN7">
        <v>0</v>
      </c>
      <c r="AO7">
        <v>0</v>
      </c>
      <c r="AP7">
        <v>0</v>
      </c>
      <c r="AQ7">
        <v>44</v>
      </c>
      <c r="AR7">
        <v>4</v>
      </c>
      <c r="AS7">
        <v>0</v>
      </c>
      <c r="AT7">
        <v>3</v>
      </c>
      <c r="AU7">
        <v>0</v>
      </c>
      <c r="AV7">
        <v>0</v>
      </c>
      <c r="AW7">
        <v>0</v>
      </c>
      <c r="AX7">
        <v>1</v>
      </c>
      <c r="AY7">
        <v>269</v>
      </c>
      <c r="AZ7">
        <v>9</v>
      </c>
      <c r="BA7">
        <v>144</v>
      </c>
      <c r="BB7">
        <v>62</v>
      </c>
      <c r="BC7">
        <v>4.9000000000000004</v>
      </c>
      <c r="BD7">
        <v>42</v>
      </c>
      <c r="BE7">
        <v>133</v>
      </c>
      <c r="BF7">
        <v>103</v>
      </c>
      <c r="BG7">
        <v>15</v>
      </c>
      <c r="BH7">
        <v>197</v>
      </c>
      <c r="BI7" t="s">
        <v>144</v>
      </c>
      <c r="BJ7" t="s">
        <v>144</v>
      </c>
      <c r="BK7">
        <v>7.52</v>
      </c>
      <c r="BL7">
        <v>75</v>
      </c>
      <c r="BM7">
        <v>27</v>
      </c>
      <c r="BN7">
        <v>22</v>
      </c>
      <c r="BO7">
        <v>4</v>
      </c>
      <c r="BP7">
        <v>60</v>
      </c>
      <c r="BQ7" t="s">
        <v>144</v>
      </c>
      <c r="BR7">
        <v>108</v>
      </c>
      <c r="BS7">
        <v>46</v>
      </c>
      <c r="BT7">
        <v>6939</v>
      </c>
      <c r="BU7" t="s">
        <v>144</v>
      </c>
      <c r="BV7" s="3">
        <v>45061</v>
      </c>
      <c r="BX7">
        <v>64</v>
      </c>
      <c r="BY7">
        <v>6</v>
      </c>
      <c r="BZ7">
        <v>4</v>
      </c>
      <c r="CA7">
        <v>0</v>
      </c>
      <c r="CB7">
        <v>0</v>
      </c>
      <c r="CC7">
        <v>0</v>
      </c>
      <c r="CD7">
        <v>0</v>
      </c>
      <c r="CE7">
        <v>2</v>
      </c>
      <c r="CF7">
        <v>0.42</v>
      </c>
      <c r="CG7">
        <v>6.9</v>
      </c>
      <c r="CH7">
        <v>55</v>
      </c>
      <c r="CI7">
        <v>49</v>
      </c>
      <c r="CJ7">
        <v>6.6</v>
      </c>
      <c r="CK7">
        <v>70</v>
      </c>
      <c r="CL7">
        <v>137</v>
      </c>
      <c r="CM7">
        <v>109</v>
      </c>
      <c r="CN7">
        <v>16</v>
      </c>
      <c r="CO7" t="s">
        <v>144</v>
      </c>
      <c r="CP7" t="s">
        <v>144</v>
      </c>
      <c r="CQ7" t="s">
        <v>144</v>
      </c>
      <c r="CR7">
        <v>7.44</v>
      </c>
      <c r="CS7">
        <v>107</v>
      </c>
      <c r="CT7">
        <v>24</v>
      </c>
      <c r="CU7">
        <v>16.399999999999999</v>
      </c>
      <c r="CV7">
        <v>1.2</v>
      </c>
      <c r="CW7" t="s">
        <v>144</v>
      </c>
      <c r="CX7" t="s">
        <v>144</v>
      </c>
      <c r="CY7" t="s">
        <v>144</v>
      </c>
      <c r="CZ7" t="s">
        <v>144</v>
      </c>
      <c r="DA7">
        <v>2369</v>
      </c>
      <c r="DB7" t="s">
        <v>144</v>
      </c>
      <c r="DC7">
        <v>1</v>
      </c>
      <c r="DD7">
        <v>1</v>
      </c>
      <c r="DE7">
        <v>500</v>
      </c>
      <c r="DF7">
        <v>1500</v>
      </c>
      <c r="DG7">
        <v>0</v>
      </c>
      <c r="DH7">
        <v>0.8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126</v>
      </c>
      <c r="DP7">
        <v>47</v>
      </c>
      <c r="DQ7">
        <v>67</v>
      </c>
      <c r="DR7">
        <v>121</v>
      </c>
      <c r="DS7">
        <v>38</v>
      </c>
      <c r="DT7">
        <v>1</v>
      </c>
      <c r="DU7">
        <v>0</v>
      </c>
      <c r="DV7">
        <v>0</v>
      </c>
      <c r="DW7">
        <v>0</v>
      </c>
      <c r="DY7">
        <v>3</v>
      </c>
      <c r="DZ7">
        <v>6.1</v>
      </c>
      <c r="EA7">
        <v>50</v>
      </c>
      <c r="EB7">
        <v>12</v>
      </c>
      <c r="EC7">
        <v>100</v>
      </c>
      <c r="ED7">
        <v>0</v>
      </c>
      <c r="EE7">
        <v>0</v>
      </c>
      <c r="EF7">
        <v>0.6</v>
      </c>
      <c r="EG7">
        <v>6.3</v>
      </c>
      <c r="EH7">
        <v>15</v>
      </c>
      <c r="EI7" t="s">
        <v>144</v>
      </c>
      <c r="EJ7">
        <v>6</v>
      </c>
      <c r="EK7">
        <v>1</v>
      </c>
      <c r="EL7">
        <v>2.44</v>
      </c>
      <c r="EM7">
        <v>23.25</v>
      </c>
      <c r="EN7">
        <v>3.9</v>
      </c>
      <c r="EO7">
        <v>14.86</v>
      </c>
      <c r="EP7">
        <v>35.74</v>
      </c>
      <c r="EQ7">
        <v>130</v>
      </c>
      <c r="ER7">
        <v>45</v>
      </c>
      <c r="ES7">
        <v>68</v>
      </c>
      <c r="ET7">
        <v>115</v>
      </c>
      <c r="EU7">
        <v>7</v>
      </c>
      <c r="EV7">
        <v>10</v>
      </c>
      <c r="EW7">
        <v>1</v>
      </c>
      <c r="EX7">
        <v>2.62</v>
      </c>
      <c r="EY7">
        <v>17.03</v>
      </c>
      <c r="EZ7">
        <v>3.5</v>
      </c>
      <c r="FA7">
        <v>11.57</v>
      </c>
      <c r="FB7">
        <v>27.4</v>
      </c>
      <c r="FC7">
        <v>122</v>
      </c>
      <c r="FD7">
        <v>41</v>
      </c>
      <c r="FE7">
        <v>62</v>
      </c>
      <c r="FF7">
        <v>118</v>
      </c>
      <c r="FG7">
        <v>6.3</v>
      </c>
      <c r="FH7">
        <v>12</v>
      </c>
      <c r="FI7">
        <v>1</v>
      </c>
      <c r="FJ7">
        <v>2.59</v>
      </c>
      <c r="FK7">
        <v>19.600000000000001</v>
      </c>
      <c r="FO7">
        <v>127</v>
      </c>
      <c r="FP7">
        <v>43</v>
      </c>
      <c r="FQ7">
        <v>66</v>
      </c>
      <c r="FR7">
        <v>116</v>
      </c>
      <c r="FS7">
        <v>7</v>
      </c>
      <c r="FT7">
        <v>50</v>
      </c>
      <c r="FU7">
        <v>0.8</v>
      </c>
      <c r="FV7">
        <v>5.9</v>
      </c>
      <c r="FW7">
        <v>10</v>
      </c>
      <c r="FX7">
        <v>100</v>
      </c>
      <c r="FY7">
        <v>10</v>
      </c>
      <c r="FZ7">
        <v>1</v>
      </c>
      <c r="GA7">
        <v>2.5499999999999998</v>
      </c>
      <c r="GB7">
        <v>19.309999999999999</v>
      </c>
      <c r="GF7">
        <v>124</v>
      </c>
      <c r="GG7">
        <v>46</v>
      </c>
      <c r="GH7">
        <v>68</v>
      </c>
      <c r="GI7">
        <v>114</v>
      </c>
      <c r="GJ7">
        <v>7</v>
      </c>
      <c r="GK7">
        <v>10</v>
      </c>
      <c r="GL7">
        <v>1</v>
      </c>
      <c r="GM7">
        <v>2.02</v>
      </c>
      <c r="GN7">
        <v>22.56</v>
      </c>
      <c r="GR7">
        <v>123</v>
      </c>
      <c r="GS7">
        <v>47</v>
      </c>
      <c r="GT7">
        <v>69</v>
      </c>
      <c r="GU7">
        <v>115</v>
      </c>
      <c r="GV7">
        <v>6.1</v>
      </c>
      <c r="GW7">
        <v>18</v>
      </c>
      <c r="GX7">
        <v>1</v>
      </c>
      <c r="GY7">
        <v>2.77</v>
      </c>
      <c r="GZ7">
        <v>18.010000000000002</v>
      </c>
      <c r="HD7">
        <v>0</v>
      </c>
      <c r="HE7">
        <v>1</v>
      </c>
      <c r="HF7" s="3">
        <v>45065</v>
      </c>
      <c r="HG7">
        <f t="shared" si="0"/>
        <v>-6.2199999999999989</v>
      </c>
      <c r="HH7" s="16">
        <f t="shared" si="1"/>
        <v>-0.26752688172043004</v>
      </c>
      <c r="HI7">
        <f t="shared" si="2"/>
        <v>-0.2900000000000027</v>
      </c>
      <c r="HJ7" s="16">
        <f t="shared" si="3"/>
        <v>-1.4795918367347076E-2</v>
      </c>
      <c r="HK7">
        <f t="shared" si="4"/>
        <v>-1.5899999999999999</v>
      </c>
      <c r="HL7" s="16">
        <f t="shared" si="5"/>
        <v>-8.1122448979591824E-2</v>
      </c>
      <c r="HM7">
        <f t="shared" si="6"/>
        <v>-1.2999999999999972</v>
      </c>
      <c r="HO7">
        <v>6109</v>
      </c>
    </row>
    <row r="8" spans="1:223" x14ac:dyDescent="0.35">
      <c r="A8" s="17" t="s">
        <v>302</v>
      </c>
      <c r="B8" s="17" t="s">
        <v>303</v>
      </c>
      <c r="C8" s="18">
        <v>24433</v>
      </c>
      <c r="D8" s="17">
        <v>56</v>
      </c>
      <c r="E8" s="17">
        <v>64</v>
      </c>
      <c r="F8" s="17">
        <v>177</v>
      </c>
      <c r="G8" s="17"/>
      <c r="H8" s="17">
        <v>0</v>
      </c>
      <c r="I8" s="17">
        <v>1</v>
      </c>
      <c r="J8" s="17">
        <v>1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1</v>
      </c>
      <c r="R8" s="17">
        <v>0</v>
      </c>
      <c r="S8" s="17">
        <v>0</v>
      </c>
      <c r="T8" s="17">
        <v>0</v>
      </c>
      <c r="U8" s="17">
        <v>0</v>
      </c>
      <c r="V8" s="17">
        <v>1</v>
      </c>
      <c r="W8" s="17">
        <v>1</v>
      </c>
      <c r="X8" s="17">
        <v>1</v>
      </c>
      <c r="Y8" s="17">
        <v>0</v>
      </c>
      <c r="Z8" s="17">
        <v>0</v>
      </c>
      <c r="AA8" s="17">
        <v>0</v>
      </c>
      <c r="AB8" s="17">
        <v>1</v>
      </c>
      <c r="AC8" s="17">
        <v>0</v>
      </c>
      <c r="AD8" s="17">
        <v>0</v>
      </c>
      <c r="AE8" s="17" t="s">
        <v>144</v>
      </c>
      <c r="AF8" s="17"/>
      <c r="AG8" s="17"/>
      <c r="AH8" s="17"/>
      <c r="AI8" s="17"/>
      <c r="AJ8" s="18">
        <v>45122</v>
      </c>
      <c r="AK8" s="17" t="s">
        <v>304</v>
      </c>
      <c r="AL8" s="17">
        <v>1</v>
      </c>
      <c r="AM8" s="17">
        <v>1</v>
      </c>
      <c r="AN8" s="17">
        <v>0</v>
      </c>
      <c r="AO8" s="17">
        <v>0</v>
      </c>
      <c r="AP8" s="17">
        <v>0</v>
      </c>
      <c r="AQ8" s="17"/>
      <c r="AR8" s="17">
        <v>14</v>
      </c>
      <c r="AS8" s="17">
        <v>4</v>
      </c>
      <c r="AT8" s="17">
        <v>3</v>
      </c>
      <c r="AU8" s="17">
        <v>3</v>
      </c>
      <c r="AV8" s="17">
        <v>2</v>
      </c>
      <c r="AW8" s="17">
        <v>2</v>
      </c>
      <c r="AX8" s="17">
        <v>0</v>
      </c>
      <c r="AY8" s="17">
        <v>9.9</v>
      </c>
      <c r="AZ8" s="17">
        <v>10.3</v>
      </c>
      <c r="BA8" s="17">
        <v>320</v>
      </c>
      <c r="BB8" s="17">
        <v>65</v>
      </c>
      <c r="BC8" s="17">
        <v>17.3</v>
      </c>
      <c r="BD8" s="17">
        <v>332</v>
      </c>
      <c r="BE8" s="17">
        <v>131</v>
      </c>
      <c r="BF8" s="17">
        <v>96</v>
      </c>
      <c r="BG8" s="17">
        <v>55</v>
      </c>
      <c r="BH8" s="17" t="s">
        <v>144</v>
      </c>
      <c r="BI8" s="17">
        <v>0.32</v>
      </c>
      <c r="BJ8" s="17" t="s">
        <v>144</v>
      </c>
      <c r="BK8" s="17">
        <v>7.4</v>
      </c>
      <c r="BL8" s="17">
        <v>62</v>
      </c>
      <c r="BM8" s="17">
        <v>33</v>
      </c>
      <c r="BN8" s="17">
        <v>20</v>
      </c>
      <c r="BO8" s="17">
        <v>5.2</v>
      </c>
      <c r="BP8" s="17">
        <v>51</v>
      </c>
      <c r="BQ8" s="17" t="s">
        <v>144</v>
      </c>
      <c r="BR8" s="17">
        <v>46</v>
      </c>
      <c r="BS8" s="17">
        <v>26</v>
      </c>
      <c r="BT8" s="17">
        <v>367</v>
      </c>
      <c r="BU8" s="17">
        <v>93</v>
      </c>
      <c r="BV8" s="18">
        <v>45127</v>
      </c>
      <c r="BW8" s="17"/>
      <c r="BX8" s="17">
        <v>52.5</v>
      </c>
      <c r="BY8" s="17">
        <v>14</v>
      </c>
      <c r="BZ8" s="17">
        <v>4</v>
      </c>
      <c r="CA8" s="17">
        <v>2</v>
      </c>
      <c r="CB8" s="17">
        <v>3</v>
      </c>
      <c r="CC8" s="17">
        <v>3</v>
      </c>
      <c r="CD8" s="17">
        <v>2</v>
      </c>
      <c r="CE8" s="17">
        <v>0</v>
      </c>
      <c r="CF8" s="17">
        <v>15.2</v>
      </c>
      <c r="CG8" s="17">
        <v>9.3000000000000007</v>
      </c>
      <c r="CH8" s="17">
        <v>234</v>
      </c>
      <c r="CI8" s="17">
        <v>67</v>
      </c>
      <c r="CJ8" s="17">
        <v>44</v>
      </c>
      <c r="CK8" s="17">
        <v>360</v>
      </c>
      <c r="CL8" s="17">
        <v>142</v>
      </c>
      <c r="CM8" s="17">
        <v>108</v>
      </c>
      <c r="CN8" s="17">
        <v>45</v>
      </c>
      <c r="CO8" s="17" t="s">
        <v>282</v>
      </c>
      <c r="CP8" s="17" t="s">
        <v>282</v>
      </c>
      <c r="CQ8" s="17" t="s">
        <v>282</v>
      </c>
      <c r="CR8" s="17">
        <v>7.4</v>
      </c>
      <c r="CS8" s="17">
        <v>70</v>
      </c>
      <c r="CT8" s="17">
        <v>30</v>
      </c>
      <c r="CU8" s="17">
        <v>19</v>
      </c>
      <c r="CV8" s="17">
        <v>1.3</v>
      </c>
      <c r="CW8" s="17">
        <v>53</v>
      </c>
      <c r="CX8" s="17" t="s">
        <v>144</v>
      </c>
      <c r="CY8" s="17">
        <v>50</v>
      </c>
      <c r="CZ8" s="17">
        <v>29</v>
      </c>
      <c r="DA8" s="17">
        <v>513</v>
      </c>
      <c r="DB8" s="17">
        <v>70</v>
      </c>
      <c r="DC8" s="17">
        <v>1</v>
      </c>
      <c r="DD8" s="17">
        <v>1</v>
      </c>
      <c r="DE8" s="17">
        <v>500</v>
      </c>
      <c r="DF8" s="17">
        <v>500</v>
      </c>
      <c r="DG8" s="17">
        <v>2</v>
      </c>
      <c r="DH8" s="17">
        <v>0.18</v>
      </c>
      <c r="DI8" s="17">
        <v>0</v>
      </c>
      <c r="DJ8" s="17">
        <v>0</v>
      </c>
      <c r="DK8" s="17">
        <v>80</v>
      </c>
      <c r="DL8" s="17">
        <v>0</v>
      </c>
      <c r="DM8" s="17">
        <v>0</v>
      </c>
      <c r="DN8" s="17">
        <v>0</v>
      </c>
      <c r="DO8" s="17">
        <v>115</v>
      </c>
      <c r="DP8" s="17">
        <v>51</v>
      </c>
      <c r="DQ8" s="17">
        <v>74</v>
      </c>
      <c r="DR8" s="17">
        <v>106</v>
      </c>
      <c r="DS8" s="17">
        <v>36.6</v>
      </c>
      <c r="DT8" s="17">
        <v>0</v>
      </c>
      <c r="DU8" s="17">
        <v>1</v>
      </c>
      <c r="DV8" s="17">
        <v>0</v>
      </c>
      <c r="DW8" s="17">
        <v>5</v>
      </c>
      <c r="DX8" s="17">
        <v>30</v>
      </c>
      <c r="DY8" s="17">
        <v>60</v>
      </c>
      <c r="DZ8" s="17">
        <v>5.0999999999999996</v>
      </c>
      <c r="EA8" s="17">
        <v>40</v>
      </c>
      <c r="EB8" s="17">
        <v>15</v>
      </c>
      <c r="EC8" s="17">
        <v>0</v>
      </c>
      <c r="ED8" s="17">
        <v>0</v>
      </c>
      <c r="EE8" s="17">
        <v>0</v>
      </c>
      <c r="EF8" s="17">
        <v>0.7</v>
      </c>
      <c r="EG8" s="17">
        <v>4.7</v>
      </c>
      <c r="EH8" s="17" t="s">
        <v>144</v>
      </c>
      <c r="EI8" s="17" t="s">
        <v>144</v>
      </c>
      <c r="EJ8" s="17" t="s">
        <v>144</v>
      </c>
      <c r="EK8" s="17">
        <v>0</v>
      </c>
      <c r="EL8" s="17">
        <v>1.7</v>
      </c>
      <c r="EM8" s="17">
        <v>82.7</v>
      </c>
      <c r="EN8" s="17">
        <v>20</v>
      </c>
      <c r="EO8" s="17">
        <v>44.2</v>
      </c>
      <c r="EP8" s="17">
        <v>158.19999999999999</v>
      </c>
      <c r="EQ8" s="17">
        <v>105</v>
      </c>
      <c r="ER8" s="17">
        <v>43</v>
      </c>
      <c r="ES8" s="17">
        <v>65</v>
      </c>
      <c r="ET8" s="17">
        <v>106</v>
      </c>
      <c r="EU8" s="17">
        <v>6.3</v>
      </c>
      <c r="EV8" s="17" t="s">
        <v>144</v>
      </c>
      <c r="EW8" s="17">
        <v>0</v>
      </c>
      <c r="EX8" s="17">
        <v>1.4</v>
      </c>
      <c r="EY8" s="17">
        <v>98</v>
      </c>
      <c r="EZ8" s="17">
        <v>17.3</v>
      </c>
      <c r="FA8" s="17">
        <v>61.1</v>
      </c>
      <c r="FB8" s="17">
        <v>151.69999999999999</v>
      </c>
      <c r="FC8" s="17">
        <v>110</v>
      </c>
      <c r="FD8" s="17">
        <v>50</v>
      </c>
      <c r="FE8" s="17">
        <v>73</v>
      </c>
      <c r="FF8" s="17">
        <v>106</v>
      </c>
      <c r="FG8" s="17">
        <v>5.5</v>
      </c>
      <c r="FH8" s="17" t="s">
        <v>144</v>
      </c>
      <c r="FI8" s="17">
        <v>0</v>
      </c>
      <c r="FJ8" s="17">
        <v>2.0499999999999998</v>
      </c>
      <c r="FK8" s="17">
        <v>88.8</v>
      </c>
      <c r="FL8" s="17">
        <v>11.11</v>
      </c>
      <c r="FM8" s="17">
        <v>57</v>
      </c>
      <c r="FN8" s="17">
        <v>124</v>
      </c>
      <c r="FO8" s="17">
        <v>119</v>
      </c>
      <c r="FP8" s="17">
        <v>56</v>
      </c>
      <c r="FQ8" s="17">
        <v>80</v>
      </c>
      <c r="FR8" s="17">
        <v>105</v>
      </c>
      <c r="FS8" s="17">
        <v>8.1999999999999993</v>
      </c>
      <c r="FT8" s="17">
        <v>50</v>
      </c>
      <c r="FU8" s="17">
        <v>0.8</v>
      </c>
      <c r="FV8" s="17">
        <v>5.4</v>
      </c>
      <c r="FW8" s="17">
        <v>15</v>
      </c>
      <c r="FX8" s="17">
        <v>0</v>
      </c>
      <c r="FY8" s="17" t="s">
        <v>144</v>
      </c>
      <c r="FZ8" s="17">
        <v>0</v>
      </c>
      <c r="GA8" s="17">
        <v>1.2</v>
      </c>
      <c r="GB8" s="17">
        <v>92.1</v>
      </c>
      <c r="GC8" s="17"/>
      <c r="GD8" s="17"/>
      <c r="GE8" s="17"/>
      <c r="GF8" s="17">
        <v>116</v>
      </c>
      <c r="GG8" s="17">
        <v>55</v>
      </c>
      <c r="GH8" s="17">
        <v>78</v>
      </c>
      <c r="GI8" s="17">
        <v>109</v>
      </c>
      <c r="GJ8" s="17">
        <v>8</v>
      </c>
      <c r="GK8" s="17" t="s">
        <v>144</v>
      </c>
      <c r="GL8" s="17">
        <v>0</v>
      </c>
      <c r="GM8" s="17">
        <v>1.1000000000000001</v>
      </c>
      <c r="GN8" s="17">
        <v>146.37</v>
      </c>
      <c r="GO8" s="17">
        <v>20.8</v>
      </c>
      <c r="GP8" s="17">
        <v>77.2</v>
      </c>
      <c r="GQ8" s="17">
        <v>202.8</v>
      </c>
      <c r="GR8" s="17">
        <v>116</v>
      </c>
      <c r="GS8" s="17">
        <v>54</v>
      </c>
      <c r="GT8" s="17">
        <v>78</v>
      </c>
      <c r="GU8" s="17">
        <v>108</v>
      </c>
      <c r="GV8" s="17">
        <v>7.8</v>
      </c>
      <c r="GW8" s="17" t="s">
        <v>144</v>
      </c>
      <c r="GX8" s="17">
        <v>0</v>
      </c>
      <c r="GY8" s="17">
        <v>0.9</v>
      </c>
      <c r="GZ8" s="17">
        <v>154.25</v>
      </c>
      <c r="HA8" s="17">
        <v>26.9</v>
      </c>
      <c r="HB8" s="17">
        <v>79.400000000000006</v>
      </c>
      <c r="HC8" s="17">
        <v>240.6</v>
      </c>
      <c r="HD8" s="17"/>
      <c r="HE8" s="17"/>
      <c r="HF8" s="17"/>
      <c r="HG8" s="17">
        <f t="shared" si="0"/>
        <v>15.299999999999997</v>
      </c>
      <c r="HH8" s="19">
        <f t="shared" si="1"/>
        <v>0.18500604594921399</v>
      </c>
      <c r="HI8" s="17">
        <f t="shared" si="2"/>
        <v>3.2999999999999972</v>
      </c>
      <c r="HJ8" s="19">
        <f t="shared" si="3"/>
        <v>3.716216216216213E-2</v>
      </c>
      <c r="HK8">
        <f t="shared" si="4"/>
        <v>65.45</v>
      </c>
      <c r="HL8" s="19">
        <f t="shared" si="5"/>
        <v>0.7370495495495496</v>
      </c>
      <c r="HM8" s="17">
        <f t="shared" si="6"/>
        <v>62.150000000000006</v>
      </c>
      <c r="HN8" s="17" t="s">
        <v>379</v>
      </c>
      <c r="HO8">
        <v>102853</v>
      </c>
    </row>
    <row r="9" spans="1:223" x14ac:dyDescent="0.35">
      <c r="A9" t="s">
        <v>354</v>
      </c>
      <c r="B9" t="s">
        <v>355</v>
      </c>
      <c r="C9" s="3">
        <v>13420</v>
      </c>
      <c r="D9">
        <v>86</v>
      </c>
      <c r="E9">
        <v>51</v>
      </c>
      <c r="F9">
        <v>160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J9" s="3">
        <v>45184</v>
      </c>
      <c r="AK9" t="s">
        <v>356</v>
      </c>
      <c r="AL9">
        <v>0</v>
      </c>
      <c r="AM9">
        <v>0</v>
      </c>
      <c r="AN9">
        <v>0</v>
      </c>
      <c r="AO9">
        <v>0</v>
      </c>
      <c r="AP9">
        <v>0</v>
      </c>
      <c r="AR9">
        <v>4</v>
      </c>
      <c r="AS9">
        <v>1</v>
      </c>
      <c r="AT9">
        <v>0</v>
      </c>
      <c r="AU9">
        <v>3</v>
      </c>
      <c r="AV9">
        <v>0</v>
      </c>
      <c r="AW9">
        <v>0</v>
      </c>
      <c r="AX9">
        <v>0</v>
      </c>
      <c r="AY9">
        <v>12.78</v>
      </c>
      <c r="AZ9">
        <v>9.1</v>
      </c>
      <c r="BA9">
        <v>311</v>
      </c>
      <c r="BB9">
        <v>58</v>
      </c>
      <c r="BC9">
        <v>5.5</v>
      </c>
      <c r="BD9">
        <v>53</v>
      </c>
      <c r="BE9">
        <v>139</v>
      </c>
      <c r="BF9">
        <v>104</v>
      </c>
      <c r="BG9">
        <v>9</v>
      </c>
      <c r="BH9">
        <v>100</v>
      </c>
      <c r="BK9">
        <v>7.51</v>
      </c>
      <c r="BL9">
        <v>496</v>
      </c>
      <c r="BM9">
        <v>34</v>
      </c>
      <c r="BN9">
        <v>26</v>
      </c>
      <c r="BO9">
        <v>0.6</v>
      </c>
      <c r="BP9">
        <v>100</v>
      </c>
      <c r="BQ9">
        <v>146</v>
      </c>
      <c r="BR9">
        <v>25</v>
      </c>
      <c r="BS9">
        <v>9</v>
      </c>
      <c r="BT9">
        <v>436</v>
      </c>
      <c r="BU9">
        <v>121</v>
      </c>
      <c r="BV9" s="3">
        <v>45184</v>
      </c>
      <c r="BW9" t="s">
        <v>237</v>
      </c>
      <c r="BX9">
        <v>51</v>
      </c>
      <c r="BY9">
        <v>4</v>
      </c>
      <c r="BZ9">
        <v>1</v>
      </c>
      <c r="CA9">
        <v>0</v>
      </c>
      <c r="CB9">
        <v>3</v>
      </c>
      <c r="CC9">
        <v>0</v>
      </c>
      <c r="CD9">
        <v>0</v>
      </c>
      <c r="CE9">
        <v>0</v>
      </c>
      <c r="CF9">
        <v>12.78</v>
      </c>
      <c r="CG9">
        <v>9.1</v>
      </c>
      <c r="CH9">
        <v>311</v>
      </c>
      <c r="CI9">
        <v>58</v>
      </c>
      <c r="CJ9">
        <v>5.5</v>
      </c>
      <c r="CK9">
        <v>53</v>
      </c>
      <c r="CL9">
        <v>139</v>
      </c>
      <c r="CM9">
        <v>104</v>
      </c>
      <c r="CN9">
        <v>9</v>
      </c>
      <c r="CO9">
        <v>100</v>
      </c>
      <c r="CR9">
        <v>7.51</v>
      </c>
      <c r="CS9">
        <v>496</v>
      </c>
      <c r="CT9">
        <v>34</v>
      </c>
      <c r="CU9">
        <v>26</v>
      </c>
      <c r="CV9">
        <v>0.6</v>
      </c>
      <c r="CW9">
        <v>100</v>
      </c>
      <c r="CX9">
        <v>146</v>
      </c>
      <c r="CY9">
        <v>25</v>
      </c>
      <c r="CZ9">
        <v>9</v>
      </c>
      <c r="DA9">
        <v>436</v>
      </c>
      <c r="DB9">
        <v>121</v>
      </c>
      <c r="DC9">
        <v>2</v>
      </c>
      <c r="DD9">
        <v>1</v>
      </c>
      <c r="DE9">
        <v>500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107</v>
      </c>
      <c r="DP9">
        <v>61</v>
      </c>
      <c r="DQ9">
        <v>74</v>
      </c>
      <c r="DR9">
        <v>107</v>
      </c>
      <c r="DS9">
        <v>38.6</v>
      </c>
      <c r="DT9">
        <v>0</v>
      </c>
      <c r="DU9">
        <v>0</v>
      </c>
      <c r="DV9">
        <v>1</v>
      </c>
      <c r="DW9">
        <v>5</v>
      </c>
      <c r="DX9">
        <v>21</v>
      </c>
      <c r="DY9">
        <v>60</v>
      </c>
      <c r="DZ9">
        <v>7.5</v>
      </c>
      <c r="EA9">
        <v>40</v>
      </c>
      <c r="EB9">
        <v>6</v>
      </c>
      <c r="EC9">
        <v>50</v>
      </c>
      <c r="ED9">
        <v>0</v>
      </c>
      <c r="EE9">
        <v>0</v>
      </c>
      <c r="EF9" t="s">
        <v>144</v>
      </c>
      <c r="EG9" t="s">
        <v>144</v>
      </c>
      <c r="EH9" t="s">
        <v>144</v>
      </c>
      <c r="EI9" t="s">
        <v>144</v>
      </c>
      <c r="EJ9" t="s">
        <v>144</v>
      </c>
      <c r="EK9">
        <v>3</v>
      </c>
      <c r="EL9">
        <v>3.9</v>
      </c>
      <c r="EM9">
        <v>24.31</v>
      </c>
      <c r="EN9">
        <v>2.8</v>
      </c>
      <c r="EO9">
        <v>16.399999999999999</v>
      </c>
      <c r="EP9">
        <v>36</v>
      </c>
      <c r="EQ9">
        <v>126</v>
      </c>
      <c r="ER9">
        <v>76</v>
      </c>
      <c r="ES9">
        <v>89</v>
      </c>
      <c r="ET9">
        <v>105</v>
      </c>
      <c r="EU9">
        <v>8.1999999999999993</v>
      </c>
      <c r="EW9">
        <v>3</v>
      </c>
      <c r="EX9">
        <v>3.9</v>
      </c>
      <c r="EY9">
        <v>25.44</v>
      </c>
      <c r="FC9">
        <v>117</v>
      </c>
      <c r="FD9">
        <v>69</v>
      </c>
      <c r="FE9">
        <v>82</v>
      </c>
      <c r="FF9">
        <v>102</v>
      </c>
      <c r="FG9">
        <v>7.2</v>
      </c>
      <c r="FI9">
        <v>3</v>
      </c>
      <c r="FJ9">
        <v>3.9</v>
      </c>
      <c r="FK9">
        <v>27.8</v>
      </c>
      <c r="FO9">
        <v>105</v>
      </c>
      <c r="FP9">
        <v>68</v>
      </c>
      <c r="FQ9">
        <v>80</v>
      </c>
      <c r="FR9">
        <v>100</v>
      </c>
      <c r="FS9">
        <v>8.1</v>
      </c>
      <c r="FT9">
        <v>40</v>
      </c>
      <c r="FZ9">
        <v>3</v>
      </c>
      <c r="GA9">
        <v>3.5</v>
      </c>
      <c r="GB9">
        <v>29.24</v>
      </c>
      <c r="HG9">
        <f t="shared" si="0"/>
        <v>1.1300000000000026</v>
      </c>
      <c r="HH9" s="16">
        <f t="shared" si="1"/>
        <v>4.6482928835870123E-2</v>
      </c>
      <c r="HI9">
        <f t="shared" si="2"/>
        <v>1.4399999999999977</v>
      </c>
      <c r="HJ9" s="16">
        <f t="shared" si="3"/>
        <v>5.1798561151079052E-2</v>
      </c>
      <c r="HO9" t="s">
        <v>387</v>
      </c>
    </row>
    <row r="10" spans="1:223" x14ac:dyDescent="0.35">
      <c r="A10" s="17" t="s">
        <v>292</v>
      </c>
      <c r="B10" s="17" t="s">
        <v>293</v>
      </c>
      <c r="C10" s="18">
        <v>21914</v>
      </c>
      <c r="D10" s="17">
        <v>63</v>
      </c>
      <c r="E10" s="17">
        <v>66</v>
      </c>
      <c r="F10" s="17">
        <v>170</v>
      </c>
      <c r="G10" s="17"/>
      <c r="H10" s="17">
        <v>0</v>
      </c>
      <c r="I10" s="17">
        <v>1</v>
      </c>
      <c r="J10" s="17">
        <v>1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 t="s">
        <v>144</v>
      </c>
      <c r="AF10" s="17"/>
      <c r="AG10" s="17"/>
      <c r="AH10" s="17"/>
      <c r="AI10" s="17"/>
      <c r="AJ10" s="18">
        <v>45063</v>
      </c>
      <c r="AK10" s="17" t="s">
        <v>38</v>
      </c>
      <c r="AL10" s="17">
        <v>1</v>
      </c>
      <c r="AM10" s="17">
        <v>1</v>
      </c>
      <c r="AN10" s="17">
        <v>0</v>
      </c>
      <c r="AO10" s="17">
        <v>0</v>
      </c>
      <c r="AP10" s="17">
        <v>0</v>
      </c>
      <c r="AQ10" s="17">
        <v>71</v>
      </c>
      <c r="AR10" s="17">
        <v>10</v>
      </c>
      <c r="AS10" s="17">
        <v>4</v>
      </c>
      <c r="AT10" s="17">
        <v>3</v>
      </c>
      <c r="AU10" s="17">
        <v>1</v>
      </c>
      <c r="AV10" s="17">
        <v>2</v>
      </c>
      <c r="AW10" s="17">
        <v>0</v>
      </c>
      <c r="AX10" s="17">
        <v>0</v>
      </c>
      <c r="AY10" s="17">
        <v>11.69</v>
      </c>
      <c r="AZ10" s="17">
        <v>18.100000000000001</v>
      </c>
      <c r="BA10" s="17">
        <v>235</v>
      </c>
      <c r="BB10" s="17">
        <v>74</v>
      </c>
      <c r="BC10" s="17">
        <v>27.9</v>
      </c>
      <c r="BD10" s="17">
        <v>378</v>
      </c>
      <c r="BE10" s="17">
        <v>142</v>
      </c>
      <c r="BF10" s="17">
        <v>106</v>
      </c>
      <c r="BG10" s="17">
        <v>11</v>
      </c>
      <c r="BH10" s="17">
        <v>736</v>
      </c>
      <c r="BI10" s="17" t="s">
        <v>144</v>
      </c>
      <c r="BJ10" s="17" t="s">
        <v>144</v>
      </c>
      <c r="BK10" s="17">
        <v>7.36</v>
      </c>
      <c r="BL10" s="17">
        <v>99</v>
      </c>
      <c r="BM10" s="17">
        <v>28</v>
      </c>
      <c r="BN10" s="17">
        <v>16</v>
      </c>
      <c r="BO10" s="17">
        <v>2.7</v>
      </c>
      <c r="BP10" s="17">
        <v>55</v>
      </c>
      <c r="BQ10" s="17">
        <v>119</v>
      </c>
      <c r="BR10" s="17">
        <v>959</v>
      </c>
      <c r="BS10" s="17">
        <v>297</v>
      </c>
      <c r="BT10" s="17"/>
      <c r="BU10" s="17"/>
      <c r="BV10" s="18">
        <v>45065</v>
      </c>
      <c r="BW10" s="17" t="s">
        <v>294</v>
      </c>
      <c r="BX10" s="17">
        <v>64</v>
      </c>
      <c r="BY10" s="17">
        <v>17</v>
      </c>
      <c r="BZ10" s="17">
        <v>4</v>
      </c>
      <c r="CA10" s="17">
        <v>3</v>
      </c>
      <c r="CB10" s="17">
        <v>4</v>
      </c>
      <c r="CC10" s="17">
        <v>4</v>
      </c>
      <c r="CD10" s="17">
        <v>1</v>
      </c>
      <c r="CE10" s="17">
        <v>1</v>
      </c>
      <c r="CF10" s="17">
        <v>10.4</v>
      </c>
      <c r="CG10" s="17">
        <v>13.3</v>
      </c>
      <c r="CH10" s="17">
        <v>131</v>
      </c>
      <c r="CI10" s="17">
        <v>64</v>
      </c>
      <c r="CJ10" s="17">
        <v>26.6</v>
      </c>
      <c r="CK10" s="17">
        <v>461</v>
      </c>
      <c r="CL10" s="17">
        <v>142</v>
      </c>
      <c r="CM10" s="17">
        <v>105</v>
      </c>
      <c r="CN10" s="17">
        <v>31</v>
      </c>
      <c r="CO10" s="17" t="s">
        <v>144</v>
      </c>
      <c r="CP10" s="17" t="s">
        <v>144</v>
      </c>
      <c r="CQ10" s="17" t="s">
        <v>144</v>
      </c>
      <c r="CR10" s="17">
        <v>7.28</v>
      </c>
      <c r="CS10" s="17">
        <v>70</v>
      </c>
      <c r="CT10" s="17">
        <v>44</v>
      </c>
      <c r="CU10" s="17">
        <v>20.2</v>
      </c>
      <c r="CV10" s="17">
        <v>1.8</v>
      </c>
      <c r="CW10" s="17">
        <v>54</v>
      </c>
      <c r="CX10" s="17">
        <v>97</v>
      </c>
      <c r="CY10" s="17">
        <v>428</v>
      </c>
      <c r="CZ10" s="17">
        <v>208</v>
      </c>
      <c r="DA10" s="17">
        <v>1229</v>
      </c>
      <c r="DB10" s="17">
        <v>12107</v>
      </c>
      <c r="DC10" s="17">
        <v>1</v>
      </c>
      <c r="DD10" s="17">
        <v>1</v>
      </c>
      <c r="DE10" s="17">
        <v>500</v>
      </c>
      <c r="DF10" s="17">
        <v>0</v>
      </c>
      <c r="DG10" s="17">
        <v>0</v>
      </c>
      <c r="DH10" s="17">
        <v>0.1</v>
      </c>
      <c r="DI10" s="17">
        <v>0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102</v>
      </c>
      <c r="DP10" s="17">
        <v>64</v>
      </c>
      <c r="DQ10" s="17">
        <v>79</v>
      </c>
      <c r="DR10" s="17">
        <v>98</v>
      </c>
      <c r="DS10" s="17">
        <v>37.700000000000003</v>
      </c>
      <c r="DT10" s="17">
        <v>0</v>
      </c>
      <c r="DU10" s="17">
        <v>0</v>
      </c>
      <c r="DV10" s="17">
        <v>1</v>
      </c>
      <c r="DW10" s="17">
        <v>8</v>
      </c>
      <c r="DX10" s="17">
        <v>45</v>
      </c>
      <c r="DY10" s="17">
        <v>60</v>
      </c>
      <c r="DZ10" s="17">
        <v>4.8</v>
      </c>
      <c r="EA10" s="17">
        <v>40</v>
      </c>
      <c r="EB10" s="17">
        <v>20</v>
      </c>
      <c r="EC10" s="17">
        <v>0</v>
      </c>
      <c r="ED10" s="17">
        <v>0</v>
      </c>
      <c r="EE10" s="17">
        <v>0</v>
      </c>
      <c r="EF10" s="17">
        <v>0.6</v>
      </c>
      <c r="EG10" s="17">
        <v>5</v>
      </c>
      <c r="EH10" s="17">
        <v>5</v>
      </c>
      <c r="EI10" s="17" t="s">
        <v>144</v>
      </c>
      <c r="EJ10" s="17" t="s">
        <v>144</v>
      </c>
      <c r="EK10" s="17">
        <v>0</v>
      </c>
      <c r="EL10" s="17">
        <v>1.4</v>
      </c>
      <c r="EM10" s="17">
        <v>152.16999999999999</v>
      </c>
      <c r="EN10" s="17">
        <v>9.5299999999999994</v>
      </c>
      <c r="EO10" s="17">
        <v>123</v>
      </c>
      <c r="EP10" s="17">
        <v>177</v>
      </c>
      <c r="EQ10" s="17">
        <v>98</v>
      </c>
      <c r="ER10" s="17">
        <v>61</v>
      </c>
      <c r="ES10" s="17">
        <v>76</v>
      </c>
      <c r="ET10" s="17">
        <v>89</v>
      </c>
      <c r="EU10" s="17">
        <v>5.8</v>
      </c>
      <c r="EV10" s="17">
        <v>5</v>
      </c>
      <c r="EW10" s="17">
        <v>0</v>
      </c>
      <c r="EX10" s="17">
        <v>2.15</v>
      </c>
      <c r="EY10" s="17">
        <v>46.17</v>
      </c>
      <c r="EZ10" s="17">
        <v>3.8</v>
      </c>
      <c r="FA10" s="17">
        <v>36.25</v>
      </c>
      <c r="FB10" s="17">
        <v>57.1</v>
      </c>
      <c r="FC10" s="17">
        <v>107</v>
      </c>
      <c r="FD10" s="17">
        <v>71</v>
      </c>
      <c r="FE10" s="17">
        <v>79</v>
      </c>
      <c r="FF10" s="17">
        <v>98</v>
      </c>
      <c r="FG10" s="17">
        <v>4.8</v>
      </c>
      <c r="FH10" s="17">
        <v>6</v>
      </c>
      <c r="FI10" s="17">
        <v>0</v>
      </c>
      <c r="FJ10" s="17">
        <v>0.95</v>
      </c>
      <c r="FK10" s="17">
        <v>145.4</v>
      </c>
      <c r="FL10" s="17">
        <v>15.32</v>
      </c>
      <c r="FM10" s="17">
        <v>90.79</v>
      </c>
      <c r="FN10" s="17">
        <v>180</v>
      </c>
      <c r="FO10" s="17">
        <v>107</v>
      </c>
      <c r="FP10" s="17">
        <v>71</v>
      </c>
      <c r="FQ10" s="17">
        <v>86</v>
      </c>
      <c r="FR10" s="17">
        <v>94</v>
      </c>
      <c r="FS10" s="17">
        <v>5.5</v>
      </c>
      <c r="FT10" s="17">
        <v>40</v>
      </c>
      <c r="FU10" s="17">
        <v>0.8</v>
      </c>
      <c r="FV10" s="17">
        <v>5</v>
      </c>
      <c r="FW10" s="17">
        <v>18</v>
      </c>
      <c r="FX10" s="17">
        <v>0</v>
      </c>
      <c r="FY10" s="17">
        <v>6</v>
      </c>
      <c r="FZ10" s="17">
        <v>0</v>
      </c>
      <c r="GA10" s="17">
        <v>0.95</v>
      </c>
      <c r="GB10" s="17">
        <v>171.3</v>
      </c>
      <c r="GC10" s="17">
        <v>10.9</v>
      </c>
      <c r="GD10" s="17">
        <v>141.69999999999999</v>
      </c>
      <c r="GE10" s="17">
        <v>199.5</v>
      </c>
      <c r="GF10" s="17">
        <v>108</v>
      </c>
      <c r="GG10" s="17">
        <v>72</v>
      </c>
      <c r="GH10" s="17">
        <v>87</v>
      </c>
      <c r="GI10" s="17">
        <v>93</v>
      </c>
      <c r="GJ10" s="17">
        <v>5.0999999999999996</v>
      </c>
      <c r="GK10" s="17">
        <v>6</v>
      </c>
      <c r="GL10" s="17">
        <v>0</v>
      </c>
      <c r="GM10" s="17">
        <v>1.25</v>
      </c>
      <c r="GN10" s="17">
        <v>167.5</v>
      </c>
      <c r="GO10" s="17">
        <v>10.5</v>
      </c>
      <c r="GP10" s="17">
        <v>141</v>
      </c>
      <c r="GQ10" s="17">
        <v>162</v>
      </c>
      <c r="GR10" s="17">
        <v>107</v>
      </c>
      <c r="GS10" s="17">
        <v>71</v>
      </c>
      <c r="GT10" s="17">
        <v>86</v>
      </c>
      <c r="GU10" s="17">
        <v>92</v>
      </c>
      <c r="GV10" s="17">
        <v>5.4</v>
      </c>
      <c r="GW10" s="17">
        <v>6</v>
      </c>
      <c r="GX10" s="17">
        <v>0</v>
      </c>
      <c r="GY10" s="17">
        <v>1.4</v>
      </c>
      <c r="GZ10" s="17">
        <v>142.58000000000001</v>
      </c>
      <c r="HA10" s="17">
        <v>9.11</v>
      </c>
      <c r="HB10" s="17">
        <v>118</v>
      </c>
      <c r="HC10" s="17">
        <v>171</v>
      </c>
      <c r="HD10" s="17">
        <v>1</v>
      </c>
      <c r="HE10" s="17">
        <v>0</v>
      </c>
      <c r="HF10" s="17"/>
      <c r="HG10" s="17">
        <f t="shared" si="0"/>
        <v>-105.99999999999999</v>
      </c>
      <c r="HH10" s="19">
        <f t="shared" si="1"/>
        <v>-0.69658934086876512</v>
      </c>
      <c r="HI10" s="17">
        <f t="shared" si="2"/>
        <v>25.900000000000006</v>
      </c>
      <c r="HJ10" s="19">
        <f t="shared" si="3"/>
        <v>0.17812929848693262</v>
      </c>
      <c r="HK10">
        <f>GZ10-FK10</f>
        <v>-2.8199999999999932</v>
      </c>
      <c r="HL10" s="19">
        <f>HK10/FK10</f>
        <v>-1.9394773039889911E-2</v>
      </c>
      <c r="HM10" s="17">
        <f>GZ10-GB10</f>
        <v>-28.72</v>
      </c>
      <c r="HN10" s="17" t="s">
        <v>374</v>
      </c>
      <c r="HO10">
        <v>18255</v>
      </c>
    </row>
    <row r="11" spans="1:223" x14ac:dyDescent="0.35">
      <c r="A11" t="s">
        <v>368</v>
      </c>
      <c r="B11" t="s">
        <v>369</v>
      </c>
      <c r="C11" s="3">
        <v>23769</v>
      </c>
      <c r="D11">
        <v>52</v>
      </c>
      <c r="E11">
        <v>62.5</v>
      </c>
      <c r="F11">
        <v>167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60</v>
      </c>
      <c r="AF11">
        <v>0</v>
      </c>
      <c r="AG11">
        <v>0</v>
      </c>
      <c r="AH11">
        <v>1</v>
      </c>
      <c r="AI11">
        <v>0</v>
      </c>
      <c r="AJ11" s="3">
        <v>45214</v>
      </c>
      <c r="AK11" t="s">
        <v>350</v>
      </c>
      <c r="AL11">
        <v>1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12.57</v>
      </c>
      <c r="AZ11">
        <v>15.8</v>
      </c>
      <c r="BA11">
        <v>193</v>
      </c>
      <c r="BB11">
        <v>64</v>
      </c>
      <c r="BC11">
        <v>5</v>
      </c>
      <c r="BD11">
        <v>64</v>
      </c>
      <c r="BE11">
        <v>121</v>
      </c>
      <c r="BF11">
        <v>91</v>
      </c>
      <c r="BG11">
        <v>13</v>
      </c>
      <c r="BI11">
        <v>6.9</v>
      </c>
      <c r="BK11">
        <v>7.53</v>
      </c>
      <c r="BL11">
        <v>130</v>
      </c>
      <c r="BM11">
        <v>25</v>
      </c>
      <c r="BN11">
        <v>21</v>
      </c>
      <c r="BO11">
        <v>1</v>
      </c>
      <c r="BR11">
        <v>69</v>
      </c>
      <c r="BS11">
        <v>59</v>
      </c>
      <c r="BT11">
        <v>736</v>
      </c>
      <c r="BU11">
        <v>36</v>
      </c>
      <c r="BV11" s="3">
        <v>45215</v>
      </c>
      <c r="BW11" t="s">
        <v>382</v>
      </c>
      <c r="BX11">
        <v>62.5</v>
      </c>
      <c r="BY11">
        <v>1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8.4</v>
      </c>
      <c r="CG11">
        <v>13.8</v>
      </c>
      <c r="CH11">
        <v>134</v>
      </c>
      <c r="CI11">
        <v>64</v>
      </c>
      <c r="CJ11">
        <v>5</v>
      </c>
      <c r="CK11">
        <v>64</v>
      </c>
      <c r="CL11">
        <v>121</v>
      </c>
      <c r="CM11">
        <v>91</v>
      </c>
      <c r="CY11">
        <v>59</v>
      </c>
      <c r="CZ11">
        <v>69</v>
      </c>
      <c r="DA11">
        <v>736</v>
      </c>
      <c r="DB11">
        <v>36</v>
      </c>
      <c r="DC11">
        <v>2</v>
      </c>
      <c r="DD11">
        <v>1</v>
      </c>
      <c r="DE11">
        <v>500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120</v>
      </c>
      <c r="DP11">
        <v>82</v>
      </c>
      <c r="DQ11">
        <v>92</v>
      </c>
      <c r="DR11">
        <v>129</v>
      </c>
      <c r="DS11">
        <v>36.5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0</v>
      </c>
      <c r="EK11">
        <v>0</v>
      </c>
      <c r="EL11">
        <v>1.3</v>
      </c>
      <c r="EM11">
        <v>157.56</v>
      </c>
      <c r="EQ11">
        <v>123</v>
      </c>
      <c r="ER11">
        <v>73</v>
      </c>
      <c r="ES11">
        <v>89</v>
      </c>
      <c r="ET11">
        <v>131</v>
      </c>
      <c r="EX11">
        <v>1.1000000000000001</v>
      </c>
      <c r="EY11">
        <v>263.67</v>
      </c>
      <c r="FC11">
        <v>135</v>
      </c>
      <c r="FD11">
        <v>74</v>
      </c>
      <c r="FE11">
        <v>88</v>
      </c>
      <c r="FF11">
        <v>133</v>
      </c>
      <c r="FJ11">
        <v>1.2</v>
      </c>
      <c r="FK11">
        <v>172.38</v>
      </c>
      <c r="FO11">
        <v>98</v>
      </c>
      <c r="FP11">
        <v>58</v>
      </c>
      <c r="FQ11">
        <v>70</v>
      </c>
      <c r="FR11">
        <v>124</v>
      </c>
      <c r="FZ11">
        <v>0</v>
      </c>
      <c r="GA11">
        <v>1.05</v>
      </c>
      <c r="GB11">
        <v>212.18</v>
      </c>
      <c r="GR11">
        <v>101</v>
      </c>
      <c r="GS11">
        <v>59</v>
      </c>
      <c r="GT11">
        <v>74</v>
      </c>
      <c r="GU11">
        <v>128</v>
      </c>
      <c r="GY11">
        <v>0.9</v>
      </c>
      <c r="GZ11">
        <v>185.7</v>
      </c>
      <c r="HG11">
        <f t="shared" si="0"/>
        <v>106.11000000000001</v>
      </c>
      <c r="HH11" s="16">
        <f t="shared" si="1"/>
        <v>0.67345773038842349</v>
      </c>
      <c r="HI11">
        <f t="shared" si="2"/>
        <v>39.800000000000011</v>
      </c>
      <c r="HJ11" s="16">
        <f t="shared" si="3"/>
        <v>0.23088525350968797</v>
      </c>
      <c r="HK11">
        <f>GZ11-FK11</f>
        <v>13.319999999999993</v>
      </c>
      <c r="HO11">
        <v>6894</v>
      </c>
    </row>
    <row r="12" spans="1:223" x14ac:dyDescent="0.35">
      <c r="A12" s="17" t="s">
        <v>283</v>
      </c>
      <c r="B12" s="17" t="s">
        <v>284</v>
      </c>
      <c r="C12" s="18">
        <v>17964</v>
      </c>
      <c r="D12" s="17">
        <v>74</v>
      </c>
      <c r="E12" s="17">
        <v>84</v>
      </c>
      <c r="F12" s="17">
        <v>171</v>
      </c>
      <c r="G12" s="17"/>
      <c r="H12" s="17">
        <v>0</v>
      </c>
      <c r="I12" s="17">
        <v>1</v>
      </c>
      <c r="J12" s="17">
        <v>1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1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1</v>
      </c>
      <c r="Z12" s="17">
        <v>1</v>
      </c>
      <c r="AA12" s="17">
        <v>0</v>
      </c>
      <c r="AB12" s="17">
        <v>0</v>
      </c>
      <c r="AC12" s="17">
        <v>0</v>
      </c>
      <c r="AD12" s="17">
        <v>0</v>
      </c>
      <c r="AE12" s="17" t="s">
        <v>144</v>
      </c>
      <c r="AF12" s="17">
        <v>0</v>
      </c>
      <c r="AG12" s="17">
        <v>0</v>
      </c>
      <c r="AH12" s="17">
        <v>0</v>
      </c>
      <c r="AI12" s="17">
        <v>0</v>
      </c>
      <c r="AJ12" s="18">
        <v>45042</v>
      </c>
      <c r="AK12" s="17" t="s">
        <v>285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47</v>
      </c>
      <c r="AR12" s="17">
        <v>1</v>
      </c>
      <c r="AS12" s="17">
        <v>0</v>
      </c>
      <c r="AT12" s="17">
        <v>1</v>
      </c>
      <c r="AU12" s="17">
        <v>0</v>
      </c>
      <c r="AV12" s="17">
        <v>0</v>
      </c>
      <c r="AW12" s="17">
        <v>0</v>
      </c>
      <c r="AX12" s="17">
        <v>0</v>
      </c>
      <c r="AY12" s="17">
        <v>19</v>
      </c>
      <c r="AZ12" s="17">
        <v>11.1</v>
      </c>
      <c r="BA12" s="17">
        <v>610</v>
      </c>
      <c r="BB12" s="17">
        <v>53</v>
      </c>
      <c r="BC12" s="17">
        <v>5.4</v>
      </c>
      <c r="BD12" s="17">
        <v>99</v>
      </c>
      <c r="BE12" s="17">
        <v>135</v>
      </c>
      <c r="BF12" s="17">
        <v>103</v>
      </c>
      <c r="BG12" s="17">
        <v>6</v>
      </c>
      <c r="BH12" s="17" t="s">
        <v>144</v>
      </c>
      <c r="BI12" s="17" t="s">
        <v>144</v>
      </c>
      <c r="BJ12" s="17" t="s">
        <v>144</v>
      </c>
      <c r="BK12" s="17" t="s">
        <v>144</v>
      </c>
      <c r="BL12" s="17" t="s">
        <v>144</v>
      </c>
      <c r="BM12" s="17" t="s">
        <v>144</v>
      </c>
      <c r="BN12" s="17" t="s">
        <v>282</v>
      </c>
      <c r="BO12" s="17" t="s">
        <v>144</v>
      </c>
      <c r="BP12" s="17">
        <v>71</v>
      </c>
      <c r="BQ12" s="17">
        <v>144</v>
      </c>
      <c r="BR12" s="17">
        <v>11</v>
      </c>
      <c r="BS12" s="17">
        <v>12</v>
      </c>
      <c r="BT12" s="17">
        <v>670</v>
      </c>
      <c r="BU12" s="17">
        <v>25</v>
      </c>
      <c r="BV12" s="18">
        <v>45044</v>
      </c>
      <c r="BW12" s="17" t="s">
        <v>286</v>
      </c>
      <c r="BX12" s="17">
        <v>80.5</v>
      </c>
      <c r="BY12" s="17">
        <v>1</v>
      </c>
      <c r="BZ12" s="17">
        <v>0</v>
      </c>
      <c r="CA12" s="17">
        <v>1</v>
      </c>
      <c r="CB12" s="17">
        <v>0</v>
      </c>
      <c r="CC12" s="17">
        <v>0</v>
      </c>
      <c r="CD12" s="17">
        <v>0</v>
      </c>
      <c r="CE12" s="17">
        <v>0</v>
      </c>
      <c r="CF12" s="17">
        <v>19</v>
      </c>
      <c r="CG12" s="17">
        <v>11.1</v>
      </c>
      <c r="CH12" s="17">
        <v>610</v>
      </c>
      <c r="CI12" s="17">
        <v>53</v>
      </c>
      <c r="CJ12" s="17">
        <v>5.4</v>
      </c>
      <c r="CK12" s="17">
        <v>99</v>
      </c>
      <c r="CL12" s="17">
        <v>135</v>
      </c>
      <c r="CM12" s="17">
        <v>103</v>
      </c>
      <c r="CN12" s="17">
        <v>6</v>
      </c>
      <c r="CO12" s="17" t="s">
        <v>144</v>
      </c>
      <c r="CP12" s="17" t="s">
        <v>144</v>
      </c>
      <c r="CQ12" s="17" t="s">
        <v>144</v>
      </c>
      <c r="CR12" s="17" t="s">
        <v>144</v>
      </c>
      <c r="CS12" s="17" t="s">
        <v>144</v>
      </c>
      <c r="CT12" s="17" t="s">
        <v>144</v>
      </c>
      <c r="CU12" s="17" t="s">
        <v>144</v>
      </c>
      <c r="CV12" s="17" t="s">
        <v>144</v>
      </c>
      <c r="CW12" s="17">
        <v>71</v>
      </c>
      <c r="CX12" s="17">
        <v>144</v>
      </c>
      <c r="CY12" s="17">
        <v>11</v>
      </c>
      <c r="CZ12" s="17">
        <v>12</v>
      </c>
      <c r="DA12" s="17">
        <v>670</v>
      </c>
      <c r="DB12" s="17">
        <v>25</v>
      </c>
      <c r="DC12" s="17">
        <v>1</v>
      </c>
      <c r="DD12" s="17">
        <v>1</v>
      </c>
      <c r="DE12" s="17">
        <v>500</v>
      </c>
      <c r="DF12" s="17">
        <v>0</v>
      </c>
      <c r="DG12" s="17">
        <v>0</v>
      </c>
      <c r="DH12" s="17">
        <v>0</v>
      </c>
      <c r="DI12" s="17">
        <v>0</v>
      </c>
      <c r="DJ12" s="17">
        <v>0</v>
      </c>
      <c r="DK12" s="17">
        <v>0</v>
      </c>
      <c r="DL12" s="17">
        <v>0</v>
      </c>
      <c r="DM12" s="17">
        <v>0</v>
      </c>
      <c r="DN12" s="17">
        <v>0</v>
      </c>
      <c r="DO12" s="17">
        <v>130</v>
      </c>
      <c r="DP12" s="17">
        <v>80</v>
      </c>
      <c r="DQ12" s="17">
        <v>94</v>
      </c>
      <c r="DR12" s="17">
        <v>97</v>
      </c>
      <c r="DS12" s="17">
        <v>37.1</v>
      </c>
      <c r="DT12" s="17">
        <v>1</v>
      </c>
      <c r="DU12" s="17">
        <v>0</v>
      </c>
      <c r="DV12" s="17">
        <v>0</v>
      </c>
      <c r="DW12" s="17">
        <v>0</v>
      </c>
      <c r="DX12" s="17">
        <v>21</v>
      </c>
      <c r="DY12" s="17">
        <v>0</v>
      </c>
      <c r="DZ12" s="17">
        <v>5.4</v>
      </c>
      <c r="EA12" s="17">
        <v>50</v>
      </c>
      <c r="EB12" s="17" t="s">
        <v>144</v>
      </c>
      <c r="EC12" s="17" t="s">
        <v>144</v>
      </c>
      <c r="ED12" s="17">
        <v>0</v>
      </c>
      <c r="EE12" s="17">
        <v>0</v>
      </c>
      <c r="EF12" s="17">
        <v>0.7</v>
      </c>
      <c r="EG12" s="17">
        <v>6.3</v>
      </c>
      <c r="EH12" s="17" t="s">
        <v>144</v>
      </c>
      <c r="EI12" s="17" t="s">
        <v>144</v>
      </c>
      <c r="EJ12" s="17" t="s">
        <v>144</v>
      </c>
      <c r="EK12" s="17">
        <v>0</v>
      </c>
      <c r="EL12" s="17">
        <v>0.8</v>
      </c>
      <c r="EM12" s="17">
        <v>296.38</v>
      </c>
      <c r="EN12" s="17">
        <v>5.13</v>
      </c>
      <c r="EO12" s="17">
        <v>282.72000000000003</v>
      </c>
      <c r="EP12" s="17">
        <v>296.3</v>
      </c>
      <c r="EQ12" s="17">
        <v>135</v>
      </c>
      <c r="ER12" s="17">
        <v>80</v>
      </c>
      <c r="ES12" s="17">
        <v>97</v>
      </c>
      <c r="ET12" s="17">
        <v>93</v>
      </c>
      <c r="EU12" s="17">
        <v>6</v>
      </c>
      <c r="EV12" s="17" t="s">
        <v>144</v>
      </c>
      <c r="EW12" s="17">
        <v>0</v>
      </c>
      <c r="EX12" s="17">
        <v>0.9</v>
      </c>
      <c r="EY12" s="17">
        <v>273.83</v>
      </c>
      <c r="EZ12" s="17"/>
      <c r="FA12" s="17"/>
      <c r="FB12" s="17"/>
      <c r="FC12" s="17">
        <v>130</v>
      </c>
      <c r="FD12" s="17">
        <v>80</v>
      </c>
      <c r="FE12" s="17">
        <v>94</v>
      </c>
      <c r="FF12" s="17">
        <v>95</v>
      </c>
      <c r="FG12" s="17">
        <v>5.7</v>
      </c>
      <c r="FH12" s="17" t="s">
        <v>144</v>
      </c>
      <c r="FI12" s="17">
        <v>0</v>
      </c>
      <c r="FJ12" s="17">
        <v>0.8</v>
      </c>
      <c r="FK12" s="17">
        <v>273.13</v>
      </c>
      <c r="FL12" s="17"/>
      <c r="FM12" s="17"/>
      <c r="FN12" s="17"/>
      <c r="FO12" s="17">
        <v>130</v>
      </c>
      <c r="FP12" s="17">
        <v>80</v>
      </c>
      <c r="FQ12" s="17">
        <v>94</v>
      </c>
      <c r="FR12" s="17">
        <v>94</v>
      </c>
      <c r="FS12" s="17">
        <v>6</v>
      </c>
      <c r="FT12" s="17"/>
      <c r="FU12" s="17"/>
      <c r="FV12" s="17"/>
      <c r="FW12" s="17"/>
      <c r="FX12" s="17"/>
      <c r="FY12" s="17" t="s">
        <v>144</v>
      </c>
      <c r="FZ12" s="17">
        <v>0</v>
      </c>
      <c r="GA12" s="17">
        <v>0.7</v>
      </c>
      <c r="GB12" s="17">
        <v>408.37</v>
      </c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>
        <v>0</v>
      </c>
      <c r="HE12" s="17">
        <v>1</v>
      </c>
      <c r="HF12" s="18">
        <v>45049</v>
      </c>
      <c r="HG12" s="17">
        <f t="shared" si="0"/>
        <v>-22.550000000000011</v>
      </c>
      <c r="HH12" s="19">
        <f t="shared" si="1"/>
        <v>-7.6084756056414099E-2</v>
      </c>
      <c r="HI12" s="17">
        <f t="shared" si="2"/>
        <v>135.24</v>
      </c>
      <c r="HJ12" s="19">
        <f t="shared" si="3"/>
        <v>0.49514883022736428</v>
      </c>
      <c r="HL12" s="19"/>
      <c r="HM12" s="17"/>
      <c r="HN12" s="17" t="s">
        <v>376</v>
      </c>
      <c r="HO12">
        <v>67301</v>
      </c>
    </row>
    <row r="13" spans="1:223" x14ac:dyDescent="0.35">
      <c r="A13" s="21" t="s">
        <v>235</v>
      </c>
      <c r="B13" s="21" t="s">
        <v>236</v>
      </c>
      <c r="C13" s="22">
        <v>20460</v>
      </c>
      <c r="D13" s="21">
        <v>67</v>
      </c>
      <c r="E13" s="21">
        <v>75</v>
      </c>
      <c r="F13" s="21">
        <v>164</v>
      </c>
      <c r="G13" s="21">
        <v>27.9</v>
      </c>
      <c r="H13" s="21">
        <v>1</v>
      </c>
      <c r="I13" s="21">
        <v>0</v>
      </c>
      <c r="J13" s="21">
        <v>0</v>
      </c>
      <c r="K13" s="21">
        <v>0</v>
      </c>
      <c r="L13" s="21">
        <v>1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1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 t="s">
        <v>144</v>
      </c>
      <c r="AF13" s="21">
        <v>0</v>
      </c>
      <c r="AG13" s="21">
        <v>0</v>
      </c>
      <c r="AH13" s="21">
        <v>0</v>
      </c>
      <c r="AI13" s="21">
        <v>0</v>
      </c>
      <c r="AJ13" s="22">
        <v>45005</v>
      </c>
      <c r="AK13" s="21" t="s">
        <v>38</v>
      </c>
      <c r="AL13" s="21">
        <v>1</v>
      </c>
      <c r="AM13" s="21">
        <v>1</v>
      </c>
      <c r="AN13" s="21">
        <v>0</v>
      </c>
      <c r="AO13" s="21">
        <v>0</v>
      </c>
      <c r="AP13" s="21">
        <v>0</v>
      </c>
      <c r="AQ13" s="21">
        <v>87</v>
      </c>
      <c r="AR13" s="21">
        <v>10</v>
      </c>
      <c r="AS13" s="21">
        <v>4</v>
      </c>
      <c r="AT13" s="21">
        <v>0</v>
      </c>
      <c r="AU13" s="21">
        <v>3</v>
      </c>
      <c r="AV13" s="21">
        <v>4</v>
      </c>
      <c r="AW13" s="21">
        <v>0</v>
      </c>
      <c r="AX13" s="21">
        <v>0</v>
      </c>
      <c r="AY13" s="21">
        <v>22.92</v>
      </c>
      <c r="AZ13" s="21">
        <v>11.2</v>
      </c>
      <c r="BA13" s="21">
        <v>486</v>
      </c>
      <c r="BB13" s="21">
        <v>61</v>
      </c>
      <c r="BC13" s="21">
        <v>28</v>
      </c>
      <c r="BD13" s="21">
        <v>482</v>
      </c>
      <c r="BE13" s="21">
        <v>131</v>
      </c>
      <c r="BF13" s="21">
        <v>92</v>
      </c>
      <c r="BG13" s="21">
        <v>5</v>
      </c>
      <c r="BH13" s="21" t="s">
        <v>144</v>
      </c>
      <c r="BI13" s="21" t="s">
        <v>144</v>
      </c>
      <c r="BJ13" s="21" t="s">
        <v>144</v>
      </c>
      <c r="BK13" s="21">
        <v>7.07</v>
      </c>
      <c r="BL13" s="21">
        <v>397</v>
      </c>
      <c r="BM13" s="21">
        <v>31</v>
      </c>
      <c r="BN13" s="21">
        <v>8</v>
      </c>
      <c r="BO13" s="21">
        <v>15.9</v>
      </c>
      <c r="BP13" s="21">
        <v>55</v>
      </c>
      <c r="BQ13" s="21">
        <v>80</v>
      </c>
      <c r="BR13" s="21">
        <v>55</v>
      </c>
      <c r="BS13" s="21">
        <v>28</v>
      </c>
      <c r="BT13" s="21">
        <v>911</v>
      </c>
      <c r="BU13" s="21">
        <v>613</v>
      </c>
      <c r="BV13" s="22">
        <v>45015</v>
      </c>
      <c r="BW13" s="21" t="s">
        <v>267</v>
      </c>
      <c r="BX13" s="21">
        <v>72</v>
      </c>
      <c r="BY13" s="21">
        <v>11</v>
      </c>
      <c r="BZ13" s="21">
        <v>4</v>
      </c>
      <c r="CA13" s="21">
        <v>3</v>
      </c>
      <c r="CB13" s="21">
        <v>4</v>
      </c>
      <c r="CC13" s="21">
        <v>0</v>
      </c>
      <c r="CD13" s="21">
        <v>0</v>
      </c>
      <c r="CE13" s="21">
        <v>0</v>
      </c>
      <c r="CF13" s="21">
        <v>12.56</v>
      </c>
      <c r="CG13" s="21">
        <v>8.8000000000000007</v>
      </c>
      <c r="CH13" s="21">
        <v>392</v>
      </c>
      <c r="CI13" s="21">
        <v>65</v>
      </c>
      <c r="CJ13" s="21">
        <v>10</v>
      </c>
      <c r="CK13" s="21">
        <v>94</v>
      </c>
      <c r="CL13" s="21">
        <v>143</v>
      </c>
      <c r="CM13" s="21">
        <v>104</v>
      </c>
      <c r="CN13" s="21">
        <v>9</v>
      </c>
      <c r="CO13" s="21" t="s">
        <v>268</v>
      </c>
      <c r="CP13" s="21" t="s">
        <v>74</v>
      </c>
      <c r="CQ13" s="21" t="s">
        <v>268</v>
      </c>
      <c r="CR13" s="21">
        <v>7.51</v>
      </c>
      <c r="CS13" s="21">
        <v>70</v>
      </c>
      <c r="CT13" s="21">
        <v>33</v>
      </c>
      <c r="CU13" s="21">
        <v>26</v>
      </c>
      <c r="CV13" s="21">
        <v>2.7</v>
      </c>
      <c r="CW13" s="21">
        <v>68</v>
      </c>
      <c r="CX13" s="21" t="s">
        <v>144</v>
      </c>
      <c r="CY13" s="21">
        <v>47</v>
      </c>
      <c r="CZ13" s="21">
        <v>19</v>
      </c>
      <c r="DA13" s="21" t="s">
        <v>144</v>
      </c>
      <c r="DB13" s="21" t="s">
        <v>144</v>
      </c>
      <c r="DC13" s="21">
        <v>3</v>
      </c>
      <c r="DD13" s="21">
        <v>1</v>
      </c>
      <c r="DE13" s="21">
        <v>500</v>
      </c>
      <c r="DF13" s="21">
        <v>0</v>
      </c>
      <c r="DG13" s="21">
        <v>0</v>
      </c>
      <c r="DH13" s="21">
        <v>0.1</v>
      </c>
      <c r="DI13" s="21">
        <v>0</v>
      </c>
      <c r="DJ13" s="21">
        <v>0</v>
      </c>
      <c r="DK13" s="21">
        <v>0</v>
      </c>
      <c r="DL13" s="21">
        <v>0</v>
      </c>
      <c r="DM13" s="21">
        <v>0</v>
      </c>
      <c r="DN13" s="21">
        <v>0</v>
      </c>
      <c r="DO13" s="21">
        <v>114</v>
      </c>
      <c r="DP13" s="21">
        <v>56</v>
      </c>
      <c r="DQ13" s="21">
        <v>73</v>
      </c>
      <c r="DR13" s="21">
        <v>123</v>
      </c>
      <c r="DS13" s="21">
        <v>39</v>
      </c>
      <c r="DT13" s="21">
        <v>0</v>
      </c>
      <c r="DU13" s="21">
        <v>1</v>
      </c>
      <c r="DV13" s="21">
        <v>0</v>
      </c>
      <c r="DW13" s="21">
        <v>5</v>
      </c>
      <c r="DX13" s="21">
        <v>40</v>
      </c>
      <c r="DY13" s="21">
        <v>60</v>
      </c>
      <c r="DZ13" s="21">
        <v>5.8</v>
      </c>
      <c r="EA13" s="21">
        <v>50</v>
      </c>
      <c r="EB13" s="21">
        <v>8</v>
      </c>
      <c r="EC13" s="21">
        <v>100</v>
      </c>
      <c r="ED13" s="21">
        <v>0</v>
      </c>
      <c r="EE13" s="21">
        <v>0</v>
      </c>
      <c r="EF13" s="21">
        <v>0.7</v>
      </c>
      <c r="EG13" s="21">
        <v>5.6</v>
      </c>
      <c r="EH13" s="21">
        <v>16</v>
      </c>
      <c r="EI13" s="21" t="s">
        <v>144</v>
      </c>
      <c r="EJ13" s="21" t="s">
        <v>144</v>
      </c>
      <c r="EK13" s="21">
        <v>0</v>
      </c>
      <c r="EL13" s="21">
        <v>1.1000000000000001</v>
      </c>
      <c r="EM13" s="21">
        <v>260.93</v>
      </c>
      <c r="EN13" s="21">
        <v>8.4600000000000009</v>
      </c>
      <c r="EO13" s="21">
        <v>235.13</v>
      </c>
      <c r="EP13" s="21">
        <v>293.52</v>
      </c>
      <c r="EQ13" s="21">
        <v>122</v>
      </c>
      <c r="ER13" s="21">
        <v>55</v>
      </c>
      <c r="ES13" s="21">
        <v>73</v>
      </c>
      <c r="ET13" s="21">
        <v>128</v>
      </c>
      <c r="EU13" s="21">
        <v>6.6</v>
      </c>
      <c r="EV13" s="21">
        <v>12</v>
      </c>
      <c r="EW13" s="21">
        <v>0</v>
      </c>
      <c r="EX13" s="21">
        <v>0.9</v>
      </c>
      <c r="EY13" s="21">
        <v>285</v>
      </c>
      <c r="EZ13" s="21"/>
      <c r="FA13" s="21"/>
      <c r="FB13" s="21"/>
      <c r="FC13" s="21">
        <v>109</v>
      </c>
      <c r="FD13" s="21">
        <v>53</v>
      </c>
      <c r="FE13" s="21">
        <v>69</v>
      </c>
      <c r="FF13" s="21">
        <v>123</v>
      </c>
      <c r="FG13" s="21">
        <v>6.1</v>
      </c>
      <c r="FH13" s="21">
        <v>14</v>
      </c>
      <c r="FI13" s="21">
        <v>0</v>
      </c>
      <c r="FJ13" s="21">
        <v>1.05</v>
      </c>
      <c r="FK13" s="21">
        <v>236</v>
      </c>
      <c r="FL13" s="21"/>
      <c r="FM13" s="21"/>
      <c r="FN13" s="21"/>
      <c r="FO13" s="21">
        <v>114</v>
      </c>
      <c r="FP13" s="21">
        <v>55</v>
      </c>
      <c r="FQ13" s="21">
        <v>73</v>
      </c>
      <c r="FR13" s="21">
        <v>117</v>
      </c>
      <c r="FS13" s="21">
        <v>6.1</v>
      </c>
      <c r="FT13" s="21">
        <v>60</v>
      </c>
      <c r="FU13" s="21">
        <v>12</v>
      </c>
      <c r="FV13" s="21">
        <v>50</v>
      </c>
      <c r="FW13" s="21">
        <v>0.7</v>
      </c>
      <c r="FX13" s="21">
        <v>5.0999999999999996</v>
      </c>
      <c r="FY13" s="21">
        <v>10</v>
      </c>
      <c r="FZ13" s="21">
        <v>0</v>
      </c>
      <c r="GA13" s="21">
        <v>0.8</v>
      </c>
      <c r="GB13" s="21">
        <v>366.76</v>
      </c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>
        <f t="shared" si="0"/>
        <v>24.069999999999993</v>
      </c>
      <c r="HH13" s="23">
        <f t="shared" si="1"/>
        <v>9.2246962786954323E-2</v>
      </c>
      <c r="HI13" s="21">
        <f t="shared" si="2"/>
        <v>130.76</v>
      </c>
      <c r="HJ13" s="23">
        <f t="shared" si="3"/>
        <v>0.55406779661016947</v>
      </c>
      <c r="HL13" s="23"/>
      <c r="HM13" s="21"/>
      <c r="HN13" s="21" t="s">
        <v>378</v>
      </c>
      <c r="HO13" t="s">
        <v>387</v>
      </c>
    </row>
    <row r="14" spans="1:223" x14ac:dyDescent="0.35">
      <c r="A14" t="s">
        <v>192</v>
      </c>
      <c r="B14" t="s">
        <v>193</v>
      </c>
      <c r="C14" s="3">
        <v>20637</v>
      </c>
      <c r="D14">
        <v>66</v>
      </c>
      <c r="E14">
        <v>69</v>
      </c>
      <c r="F14">
        <v>176</v>
      </c>
      <c r="G14">
        <v>22.33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144</v>
      </c>
      <c r="AF14">
        <v>0</v>
      </c>
      <c r="AG14">
        <v>0</v>
      </c>
      <c r="AH14">
        <v>0</v>
      </c>
      <c r="AI14">
        <v>0</v>
      </c>
      <c r="AJ14" s="3">
        <v>44953</v>
      </c>
      <c r="AK14" t="s">
        <v>194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58</v>
      </c>
      <c r="AR14">
        <v>11</v>
      </c>
      <c r="AS14">
        <v>4</v>
      </c>
      <c r="AT14">
        <v>0</v>
      </c>
      <c r="AU14">
        <v>1</v>
      </c>
      <c r="AV14">
        <v>4</v>
      </c>
      <c r="AW14">
        <v>0</v>
      </c>
      <c r="AX14">
        <v>0</v>
      </c>
      <c r="AY14">
        <v>2.75</v>
      </c>
      <c r="AZ14">
        <v>12.9</v>
      </c>
      <c r="BA14">
        <v>191</v>
      </c>
      <c r="BB14">
        <v>43</v>
      </c>
      <c r="BC14">
        <v>14.3</v>
      </c>
      <c r="BD14">
        <v>319</v>
      </c>
      <c r="BE14">
        <v>141</v>
      </c>
      <c r="BF14">
        <v>104</v>
      </c>
      <c r="BG14">
        <v>7</v>
      </c>
      <c r="BH14">
        <v>290</v>
      </c>
      <c r="BI14">
        <v>148</v>
      </c>
      <c r="BJ14" t="s">
        <v>144</v>
      </c>
      <c r="BK14">
        <v>7.26</v>
      </c>
      <c r="BL14">
        <v>224</v>
      </c>
      <c r="BM14">
        <v>32</v>
      </c>
      <c r="BN14">
        <v>15</v>
      </c>
      <c r="BO14">
        <v>8</v>
      </c>
      <c r="BP14">
        <v>40</v>
      </c>
      <c r="BQ14">
        <v>45</v>
      </c>
      <c r="BR14">
        <v>142</v>
      </c>
      <c r="BS14">
        <v>39</v>
      </c>
      <c r="BT14">
        <v>596</v>
      </c>
      <c r="BU14">
        <v>6260</v>
      </c>
      <c r="BV14" s="3">
        <v>44953</v>
      </c>
      <c r="BW14" t="s">
        <v>195</v>
      </c>
      <c r="BX14">
        <v>69</v>
      </c>
      <c r="BY14">
        <v>11</v>
      </c>
      <c r="BZ14">
        <v>4</v>
      </c>
      <c r="CA14">
        <v>2</v>
      </c>
      <c r="CB14">
        <v>1</v>
      </c>
      <c r="CC14">
        <v>4</v>
      </c>
      <c r="CD14">
        <v>0</v>
      </c>
      <c r="CE14">
        <v>0</v>
      </c>
      <c r="CF14">
        <v>3.28</v>
      </c>
      <c r="CG14">
        <v>12.9</v>
      </c>
      <c r="CH14">
        <v>194</v>
      </c>
      <c r="CI14">
        <v>42</v>
      </c>
      <c r="CJ14">
        <v>15.5</v>
      </c>
      <c r="CK14">
        <v>320</v>
      </c>
      <c r="CL14">
        <v>138</v>
      </c>
      <c r="CM14">
        <v>104</v>
      </c>
      <c r="CN14">
        <v>10</v>
      </c>
      <c r="CO14">
        <v>290</v>
      </c>
      <c r="CP14">
        <v>148</v>
      </c>
      <c r="CQ14" t="s">
        <v>144</v>
      </c>
      <c r="CR14">
        <v>7.02</v>
      </c>
      <c r="CS14">
        <v>206</v>
      </c>
      <c r="CT14">
        <v>27</v>
      </c>
      <c r="CU14">
        <v>8</v>
      </c>
      <c r="CV14">
        <v>14</v>
      </c>
      <c r="CW14">
        <v>34</v>
      </c>
      <c r="CX14">
        <v>47</v>
      </c>
      <c r="CY14">
        <v>293</v>
      </c>
      <c r="CZ14">
        <v>79</v>
      </c>
      <c r="DA14">
        <v>950</v>
      </c>
      <c r="DB14">
        <v>12750</v>
      </c>
      <c r="DC14">
        <v>1</v>
      </c>
      <c r="DD14">
        <v>1</v>
      </c>
      <c r="DE14">
        <v>500</v>
      </c>
      <c r="DF14">
        <v>4500</v>
      </c>
      <c r="DG14">
        <v>2</v>
      </c>
      <c r="DH14">
        <v>0.4</v>
      </c>
      <c r="DI14">
        <v>0</v>
      </c>
      <c r="DJ14">
        <v>0</v>
      </c>
      <c r="DK14">
        <v>50</v>
      </c>
      <c r="DL14">
        <v>5</v>
      </c>
      <c r="DM14">
        <v>0</v>
      </c>
      <c r="DN14">
        <v>0</v>
      </c>
      <c r="DO14">
        <v>96</v>
      </c>
      <c r="DP14">
        <v>50</v>
      </c>
      <c r="DQ14">
        <v>65</v>
      </c>
      <c r="DR14">
        <v>102</v>
      </c>
      <c r="DS14">
        <v>34.200000000000003</v>
      </c>
      <c r="DT14">
        <v>0</v>
      </c>
      <c r="DU14">
        <v>0</v>
      </c>
      <c r="DV14">
        <v>1</v>
      </c>
      <c r="DW14">
        <v>5</v>
      </c>
      <c r="DX14">
        <v>100</v>
      </c>
      <c r="DY14">
        <v>60</v>
      </c>
      <c r="DZ14">
        <v>2.8</v>
      </c>
      <c r="EA14">
        <v>40</v>
      </c>
      <c r="EB14">
        <v>9</v>
      </c>
      <c r="EC14">
        <v>50</v>
      </c>
      <c r="ED14">
        <v>0</v>
      </c>
      <c r="EE14">
        <v>0</v>
      </c>
      <c r="EF14">
        <v>0.9</v>
      </c>
      <c r="EG14">
        <v>5.0999999999999996</v>
      </c>
      <c r="EH14">
        <v>19</v>
      </c>
      <c r="EI14" t="s">
        <v>144</v>
      </c>
      <c r="EJ14">
        <v>8</v>
      </c>
      <c r="EK14">
        <v>5</v>
      </c>
      <c r="EL14">
        <v>5.51</v>
      </c>
      <c r="EM14">
        <v>7.93</v>
      </c>
      <c r="EN14">
        <v>0.36</v>
      </c>
      <c r="EO14">
        <v>7.26</v>
      </c>
      <c r="EP14">
        <v>10.56</v>
      </c>
      <c r="EQ14">
        <v>193</v>
      </c>
      <c r="ER14">
        <v>63</v>
      </c>
      <c r="ES14">
        <v>105</v>
      </c>
      <c r="ET14">
        <v>105</v>
      </c>
      <c r="EU14">
        <v>4.5</v>
      </c>
      <c r="EV14">
        <v>20</v>
      </c>
      <c r="EW14">
        <v>3</v>
      </c>
      <c r="EX14">
        <v>3.17</v>
      </c>
      <c r="EY14">
        <v>15.02</v>
      </c>
      <c r="EZ14">
        <v>9.57</v>
      </c>
      <c r="FA14">
        <v>7.66</v>
      </c>
      <c r="FB14">
        <v>90.09</v>
      </c>
      <c r="FC14" t="s">
        <v>144</v>
      </c>
      <c r="FD14" t="s">
        <v>144</v>
      </c>
      <c r="FE14" t="s">
        <v>144</v>
      </c>
      <c r="FF14" t="s">
        <v>144</v>
      </c>
      <c r="FG14" t="s">
        <v>144</v>
      </c>
      <c r="FH14" t="s">
        <v>144</v>
      </c>
      <c r="FI14" t="s">
        <v>144</v>
      </c>
      <c r="FJ14" t="s">
        <v>144</v>
      </c>
      <c r="FK14" t="s">
        <v>144</v>
      </c>
      <c r="FL14" t="s">
        <v>144</v>
      </c>
      <c r="FM14" t="s">
        <v>144</v>
      </c>
      <c r="FN14" t="s">
        <v>144</v>
      </c>
      <c r="FO14">
        <v>138</v>
      </c>
      <c r="FP14">
        <v>47</v>
      </c>
      <c r="FQ14">
        <v>77</v>
      </c>
      <c r="FR14">
        <v>109</v>
      </c>
      <c r="FS14">
        <v>5.6</v>
      </c>
      <c r="FY14">
        <v>10</v>
      </c>
      <c r="FZ14">
        <v>0</v>
      </c>
      <c r="GA14">
        <v>2.58</v>
      </c>
      <c r="GB14">
        <v>26.06</v>
      </c>
      <c r="GC14">
        <v>1.8</v>
      </c>
      <c r="GD14">
        <v>22.9</v>
      </c>
      <c r="GE14">
        <v>40.47</v>
      </c>
      <c r="HG14">
        <f t="shared" si="0"/>
        <v>7.09</v>
      </c>
      <c r="HH14" s="16">
        <f t="shared" si="1"/>
        <v>0.89407313997477933</v>
      </c>
      <c r="HI14">
        <f>GB14-EY14</f>
        <v>11.04</v>
      </c>
      <c r="HJ14" s="16">
        <f>HI14/EY14</f>
        <v>0.73501997336884151</v>
      </c>
      <c r="HL14" s="16">
        <f>HK14/EY14</f>
        <v>0</v>
      </c>
      <c r="HM14" t="s">
        <v>387</v>
      </c>
      <c r="HO14" s="17" t="s">
        <v>387</v>
      </c>
    </row>
    <row r="15" spans="1:223" x14ac:dyDescent="0.35">
      <c r="A15" t="s">
        <v>183</v>
      </c>
      <c r="B15" t="s">
        <v>184</v>
      </c>
      <c r="C15" s="3">
        <v>28579</v>
      </c>
      <c r="D15">
        <v>28</v>
      </c>
      <c r="E15">
        <v>75</v>
      </c>
      <c r="F15">
        <v>173</v>
      </c>
      <c r="G15">
        <v>25.05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 t="s">
        <v>144</v>
      </c>
      <c r="AF15">
        <v>0</v>
      </c>
      <c r="AG15">
        <v>0</v>
      </c>
      <c r="AH15">
        <v>0</v>
      </c>
      <c r="AI15">
        <v>0</v>
      </c>
      <c r="AJ15" s="3">
        <v>44980</v>
      </c>
      <c r="AK15" t="s">
        <v>185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43</v>
      </c>
      <c r="AR15">
        <v>8</v>
      </c>
      <c r="AS15">
        <v>4</v>
      </c>
      <c r="AT15">
        <v>0</v>
      </c>
      <c r="AU15">
        <v>4</v>
      </c>
      <c r="AV15">
        <v>0</v>
      </c>
      <c r="AW15">
        <v>0</v>
      </c>
      <c r="AX15">
        <v>0</v>
      </c>
      <c r="AY15">
        <v>6.21</v>
      </c>
      <c r="AZ15">
        <v>10.3</v>
      </c>
      <c r="BA15">
        <v>316</v>
      </c>
      <c r="BB15">
        <v>79</v>
      </c>
      <c r="BC15">
        <v>3.6</v>
      </c>
      <c r="BD15">
        <v>60</v>
      </c>
      <c r="BE15">
        <v>140</v>
      </c>
      <c r="BF15">
        <v>106</v>
      </c>
      <c r="BG15">
        <v>9</v>
      </c>
      <c r="BH15">
        <v>7</v>
      </c>
      <c r="BI15">
        <v>0.03</v>
      </c>
      <c r="BJ15">
        <v>32</v>
      </c>
      <c r="BK15">
        <v>7.52</v>
      </c>
      <c r="BL15">
        <v>77</v>
      </c>
      <c r="BM15">
        <v>35</v>
      </c>
      <c r="BN15">
        <v>29</v>
      </c>
      <c r="BO15">
        <v>1.3</v>
      </c>
      <c r="BP15">
        <v>100</v>
      </c>
      <c r="BQ15" t="s">
        <v>144</v>
      </c>
      <c r="BR15">
        <v>40</v>
      </c>
      <c r="BS15">
        <v>27</v>
      </c>
      <c r="BT15">
        <v>455</v>
      </c>
      <c r="BU15">
        <v>111</v>
      </c>
      <c r="BV15" s="3">
        <v>44981</v>
      </c>
      <c r="BW15" t="s">
        <v>186</v>
      </c>
      <c r="BX15">
        <v>75</v>
      </c>
      <c r="BY15">
        <v>4</v>
      </c>
      <c r="BZ15">
        <v>0</v>
      </c>
      <c r="CA15">
        <v>0</v>
      </c>
      <c r="CB15">
        <v>4</v>
      </c>
      <c r="CC15">
        <v>0</v>
      </c>
      <c r="CD15">
        <v>0</v>
      </c>
      <c r="CE15">
        <v>0</v>
      </c>
      <c r="CF15">
        <v>3.6</v>
      </c>
      <c r="CG15">
        <v>9.5</v>
      </c>
      <c r="CH15">
        <v>313</v>
      </c>
      <c r="CI15">
        <v>68</v>
      </c>
      <c r="CJ15">
        <v>5.2</v>
      </c>
      <c r="CK15">
        <v>79</v>
      </c>
      <c r="CL15">
        <v>139</v>
      </c>
      <c r="CM15">
        <v>107</v>
      </c>
      <c r="CN15" t="s">
        <v>144</v>
      </c>
      <c r="CO15" t="s">
        <v>144</v>
      </c>
      <c r="CP15" t="s">
        <v>144</v>
      </c>
      <c r="CQ15" t="s">
        <v>144</v>
      </c>
      <c r="CR15">
        <v>7.61</v>
      </c>
      <c r="CS15">
        <v>95</v>
      </c>
      <c r="CT15">
        <v>24</v>
      </c>
      <c r="CU15">
        <v>24</v>
      </c>
      <c r="CV15">
        <v>1.9</v>
      </c>
      <c r="CW15" t="s">
        <v>144</v>
      </c>
      <c r="CX15" t="s">
        <v>144</v>
      </c>
      <c r="CY15" t="s">
        <v>144</v>
      </c>
      <c r="CZ15" t="s">
        <v>144</v>
      </c>
      <c r="DA15" t="s">
        <v>144</v>
      </c>
      <c r="DB15" t="s">
        <v>144</v>
      </c>
      <c r="DC15">
        <v>2</v>
      </c>
      <c r="DD15">
        <v>1</v>
      </c>
      <c r="DE15">
        <v>500</v>
      </c>
      <c r="DF15">
        <v>1500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89</v>
      </c>
      <c r="DP15">
        <v>74</v>
      </c>
      <c r="DQ15">
        <v>80</v>
      </c>
      <c r="DR15">
        <v>81</v>
      </c>
      <c r="DS15">
        <v>35.5</v>
      </c>
      <c r="DT15">
        <v>0</v>
      </c>
      <c r="DU15">
        <v>0</v>
      </c>
      <c r="DV15">
        <v>1</v>
      </c>
      <c r="DW15">
        <v>5</v>
      </c>
      <c r="DX15">
        <v>30</v>
      </c>
      <c r="DY15">
        <v>60</v>
      </c>
      <c r="DZ15">
        <v>2.8</v>
      </c>
      <c r="EA15">
        <v>50</v>
      </c>
      <c r="EB15">
        <v>15</v>
      </c>
      <c r="EC15">
        <v>50</v>
      </c>
      <c r="ED15">
        <v>0</v>
      </c>
      <c r="EE15">
        <v>0</v>
      </c>
      <c r="EF15" t="s">
        <v>144</v>
      </c>
      <c r="EG15" t="s">
        <v>144</v>
      </c>
      <c r="EH15" t="s">
        <v>144</v>
      </c>
      <c r="EI15" t="s">
        <v>144</v>
      </c>
      <c r="EJ15" t="s">
        <v>144</v>
      </c>
      <c r="EK15" t="s">
        <v>144</v>
      </c>
      <c r="EL15">
        <v>3.38</v>
      </c>
      <c r="EM15">
        <v>10.039999999999999</v>
      </c>
      <c r="EN15">
        <v>2.58</v>
      </c>
      <c r="EO15">
        <v>5.8</v>
      </c>
      <c r="EP15">
        <v>15.98</v>
      </c>
      <c r="EQ15" s="2">
        <v>99</v>
      </c>
      <c r="ER15" s="2">
        <v>76</v>
      </c>
      <c r="ES15" s="2">
        <v>84</v>
      </c>
      <c r="ET15" s="2">
        <v>73</v>
      </c>
      <c r="EU15" s="2">
        <v>2.8</v>
      </c>
      <c r="EV15" t="s">
        <v>144</v>
      </c>
      <c r="EW15" t="s">
        <v>144</v>
      </c>
      <c r="EX15" s="2">
        <v>3.01</v>
      </c>
      <c r="EY15" s="2">
        <v>12.73</v>
      </c>
      <c r="EZ15" s="2">
        <v>7.76</v>
      </c>
      <c r="FA15" s="2">
        <v>4.7</v>
      </c>
      <c r="FB15" s="2">
        <v>54.72</v>
      </c>
      <c r="FC15" s="2">
        <v>88</v>
      </c>
      <c r="FD15" s="2">
        <v>74</v>
      </c>
      <c r="FE15" s="2">
        <v>81</v>
      </c>
      <c r="FF15" s="2">
        <v>75</v>
      </c>
      <c r="FG15" s="2">
        <v>2.9</v>
      </c>
      <c r="FH15" t="s">
        <v>144</v>
      </c>
      <c r="FI15" t="s">
        <v>144</v>
      </c>
      <c r="FJ15" s="2">
        <v>3.59</v>
      </c>
      <c r="FK15" s="2">
        <v>7.62</v>
      </c>
      <c r="FL15" s="2">
        <v>2.5</v>
      </c>
      <c r="FM15" s="2">
        <v>5</v>
      </c>
      <c r="FN15" s="2">
        <v>18.010000000000002</v>
      </c>
      <c r="FO15" s="2">
        <v>100</v>
      </c>
      <c r="FP15" s="2">
        <v>80</v>
      </c>
      <c r="FQ15" s="2">
        <v>88</v>
      </c>
      <c r="FR15" s="2">
        <v>67</v>
      </c>
      <c r="FS15" s="2">
        <v>2.9</v>
      </c>
      <c r="FT15" s="2"/>
      <c r="FU15" s="2"/>
      <c r="FV15" s="2"/>
      <c r="FW15" s="2"/>
      <c r="FX15" s="2"/>
      <c r="FY15" t="s">
        <v>144</v>
      </c>
      <c r="FZ15" t="s">
        <v>144</v>
      </c>
      <c r="GA15" s="2">
        <v>2.39</v>
      </c>
      <c r="GB15" s="2">
        <v>15.02</v>
      </c>
      <c r="GC15" s="2">
        <v>6.36</v>
      </c>
      <c r="GD15" s="2">
        <v>5.43</v>
      </c>
      <c r="GE15" s="2">
        <v>11.29</v>
      </c>
      <c r="GF15" s="2"/>
      <c r="GG15" s="2"/>
      <c r="HE15">
        <v>1</v>
      </c>
      <c r="HG15">
        <f t="shared" si="0"/>
        <v>2.6900000000000013</v>
      </c>
      <c r="HH15" s="16">
        <f t="shared" si="1"/>
        <v>0.26792828685258979</v>
      </c>
      <c r="HI15">
        <f t="shared" ref="HI15:HI23" si="7">GB15-FK15</f>
        <v>7.3999999999999995</v>
      </c>
      <c r="HJ15" s="16">
        <f t="shared" ref="HJ15:HJ23" si="8">HI15/FK15</f>
        <v>0.97112860892388442</v>
      </c>
      <c r="HL15" s="16"/>
      <c r="HO15" t="s">
        <v>387</v>
      </c>
    </row>
    <row r="16" spans="1:223" x14ac:dyDescent="0.35">
      <c r="A16" s="17" t="s">
        <v>344</v>
      </c>
      <c r="B16" s="17" t="s">
        <v>345</v>
      </c>
      <c r="C16" s="18">
        <v>21913</v>
      </c>
      <c r="D16" s="17">
        <v>63</v>
      </c>
      <c r="E16" s="17">
        <v>73</v>
      </c>
      <c r="F16" s="17">
        <v>171</v>
      </c>
      <c r="G16" s="17"/>
      <c r="H16" s="17">
        <v>0</v>
      </c>
      <c r="I16" s="17">
        <v>1</v>
      </c>
      <c r="J16" s="17">
        <v>2</v>
      </c>
      <c r="K16" s="17">
        <v>0</v>
      </c>
      <c r="L16" s="17">
        <v>1</v>
      </c>
      <c r="M16" s="17">
        <v>0</v>
      </c>
      <c r="N16" s="17">
        <v>0</v>
      </c>
      <c r="O16" s="17">
        <v>0</v>
      </c>
      <c r="P16" s="17">
        <v>0</v>
      </c>
      <c r="Q16" s="17">
        <v>1</v>
      </c>
      <c r="R16" s="17">
        <v>0</v>
      </c>
      <c r="S16" s="17">
        <v>0</v>
      </c>
      <c r="T16" s="17">
        <v>1</v>
      </c>
      <c r="U16" s="17">
        <v>1</v>
      </c>
      <c r="V16" s="17">
        <v>1</v>
      </c>
      <c r="W16" s="17">
        <v>1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 t="s">
        <v>144</v>
      </c>
      <c r="AF16" s="17"/>
      <c r="AG16" s="17"/>
      <c r="AH16" s="17"/>
      <c r="AI16" s="17"/>
      <c r="AJ16" s="18">
        <v>45169</v>
      </c>
      <c r="AK16" s="17" t="s">
        <v>350</v>
      </c>
      <c r="AL16" s="17">
        <v>1</v>
      </c>
      <c r="AM16" s="17">
        <v>0</v>
      </c>
      <c r="AN16" s="17">
        <v>0</v>
      </c>
      <c r="AO16" s="17">
        <v>0</v>
      </c>
      <c r="AP16" s="17">
        <v>0</v>
      </c>
      <c r="AQ16" s="17"/>
      <c r="AR16" s="17">
        <v>6</v>
      </c>
      <c r="AS16" s="17">
        <v>1</v>
      </c>
      <c r="AT16" s="17">
        <v>0</v>
      </c>
      <c r="AU16" s="17">
        <v>0</v>
      </c>
      <c r="AV16" s="17">
        <v>2</v>
      </c>
      <c r="AW16" s="17">
        <v>2</v>
      </c>
      <c r="AX16" s="17">
        <v>1</v>
      </c>
      <c r="AY16" s="17">
        <v>6.5</v>
      </c>
      <c r="AZ16" s="17">
        <v>11.5</v>
      </c>
      <c r="BA16" s="17">
        <v>131</v>
      </c>
      <c r="BB16" s="17">
        <v>75</v>
      </c>
      <c r="BC16" s="17">
        <v>12</v>
      </c>
      <c r="BD16" s="17">
        <v>195</v>
      </c>
      <c r="BE16" s="17">
        <v>130</v>
      </c>
      <c r="BF16" s="17">
        <v>100</v>
      </c>
      <c r="BG16" s="17">
        <v>38</v>
      </c>
      <c r="BH16" s="17">
        <v>290</v>
      </c>
      <c r="BI16" s="17">
        <v>13</v>
      </c>
      <c r="BJ16" s="17">
        <v>26</v>
      </c>
      <c r="BK16" s="17">
        <v>7.43</v>
      </c>
      <c r="BL16" s="17">
        <v>85</v>
      </c>
      <c r="BM16" s="17">
        <v>22</v>
      </c>
      <c r="BN16" s="17">
        <v>18</v>
      </c>
      <c r="BO16" s="17">
        <v>1.2</v>
      </c>
      <c r="BP16" s="17">
        <v>52</v>
      </c>
      <c r="BQ16" s="17">
        <v>59</v>
      </c>
      <c r="BR16" s="17">
        <v>42</v>
      </c>
      <c r="BS16" s="17">
        <v>25</v>
      </c>
      <c r="BT16" s="17"/>
      <c r="BU16" s="17"/>
      <c r="BV16" s="18">
        <v>45169</v>
      </c>
      <c r="BW16" s="17" t="s">
        <v>318</v>
      </c>
      <c r="BX16" s="17">
        <v>73</v>
      </c>
      <c r="BY16" s="17">
        <v>6</v>
      </c>
      <c r="BZ16" s="17">
        <v>1</v>
      </c>
      <c r="CA16" s="17">
        <v>0</v>
      </c>
      <c r="CB16" s="17">
        <v>0</v>
      </c>
      <c r="CC16" s="17">
        <v>2</v>
      </c>
      <c r="CD16" s="17">
        <v>2</v>
      </c>
      <c r="CE16" s="17">
        <v>1</v>
      </c>
      <c r="CF16" s="17">
        <v>6.5</v>
      </c>
      <c r="CG16" s="17">
        <v>11.5</v>
      </c>
      <c r="CH16" s="17">
        <v>131</v>
      </c>
      <c r="CI16" s="17">
        <v>75</v>
      </c>
      <c r="CJ16" s="17">
        <v>12</v>
      </c>
      <c r="CK16" s="17">
        <v>195</v>
      </c>
      <c r="CL16" s="17">
        <v>130</v>
      </c>
      <c r="CM16" s="17">
        <v>100</v>
      </c>
      <c r="CN16" s="17">
        <v>38</v>
      </c>
      <c r="CO16" s="17">
        <v>290</v>
      </c>
      <c r="CP16" s="17">
        <v>13</v>
      </c>
      <c r="CQ16" s="17">
        <v>26</v>
      </c>
      <c r="CR16" s="17">
        <v>7.43</v>
      </c>
      <c r="CS16" s="17">
        <v>85</v>
      </c>
      <c r="CT16" s="17">
        <v>22</v>
      </c>
      <c r="CU16" s="17">
        <v>18</v>
      </c>
      <c r="CV16" s="17">
        <v>1.2</v>
      </c>
      <c r="CW16" s="17">
        <v>52</v>
      </c>
      <c r="CX16" s="17">
        <v>59</v>
      </c>
      <c r="CY16" s="17">
        <v>42</v>
      </c>
      <c r="CZ16" s="17">
        <v>25</v>
      </c>
      <c r="DA16" s="17"/>
      <c r="DB16" s="17"/>
      <c r="DC16" s="17">
        <v>2</v>
      </c>
      <c r="DD16" s="17">
        <v>1</v>
      </c>
      <c r="DE16" s="17">
        <v>500</v>
      </c>
      <c r="DF16" s="17">
        <v>1500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93</v>
      </c>
      <c r="DP16" s="17">
        <v>63</v>
      </c>
      <c r="DQ16" s="17">
        <v>74</v>
      </c>
      <c r="DR16" s="17">
        <v>97</v>
      </c>
      <c r="DS16" s="17">
        <v>38.5</v>
      </c>
      <c r="DT16" s="17">
        <v>1</v>
      </c>
      <c r="DU16" s="17">
        <v>0</v>
      </c>
      <c r="DV16" s="17">
        <v>0</v>
      </c>
      <c r="DW16" s="17">
        <v>0</v>
      </c>
      <c r="DX16" s="17">
        <v>0</v>
      </c>
      <c r="DY16" s="17">
        <v>0</v>
      </c>
      <c r="DZ16" s="17">
        <v>4.4000000000000004</v>
      </c>
      <c r="EA16" s="17">
        <v>50</v>
      </c>
      <c r="EB16" s="17">
        <v>0</v>
      </c>
      <c r="EC16" s="17">
        <v>100</v>
      </c>
      <c r="ED16" s="17">
        <v>0</v>
      </c>
      <c r="EE16" s="17">
        <v>0</v>
      </c>
      <c r="EF16" s="17">
        <v>0.6</v>
      </c>
      <c r="EG16" s="17">
        <v>0</v>
      </c>
      <c r="EH16" s="17" t="s">
        <v>144</v>
      </c>
      <c r="EI16" s="17" t="s">
        <v>144</v>
      </c>
      <c r="EJ16" s="17" t="s">
        <v>144</v>
      </c>
      <c r="EK16" s="17">
        <v>1</v>
      </c>
      <c r="EL16" s="17">
        <v>4.5</v>
      </c>
      <c r="EM16" s="17">
        <v>11.24</v>
      </c>
      <c r="EN16" s="17">
        <v>2.2599999999999998</v>
      </c>
      <c r="EO16" s="17">
        <v>7.48</v>
      </c>
      <c r="EP16" s="17">
        <v>20.6</v>
      </c>
      <c r="EQ16" s="17">
        <v>97</v>
      </c>
      <c r="ER16" s="17">
        <v>69</v>
      </c>
      <c r="ES16" s="17">
        <v>78</v>
      </c>
      <c r="ET16" s="17">
        <v>94</v>
      </c>
      <c r="EU16" s="17">
        <v>5</v>
      </c>
      <c r="EV16" s="17" t="s">
        <v>144</v>
      </c>
      <c r="EW16" s="17">
        <v>1</v>
      </c>
      <c r="EX16" s="17">
        <v>3.2</v>
      </c>
      <c r="EY16" s="17">
        <v>58.4</v>
      </c>
      <c r="EZ16" s="17"/>
      <c r="FA16" s="17"/>
      <c r="FB16" s="17"/>
      <c r="FC16" s="17">
        <v>93</v>
      </c>
      <c r="FD16" s="17">
        <v>65</v>
      </c>
      <c r="FE16" s="17">
        <v>73</v>
      </c>
      <c r="FF16" s="17">
        <v>94</v>
      </c>
      <c r="FG16" s="17">
        <v>4.0999999999999996</v>
      </c>
      <c r="FH16" s="17" t="s">
        <v>144</v>
      </c>
      <c r="FI16" s="17">
        <v>1</v>
      </c>
      <c r="FJ16" s="17">
        <v>4.0999999999999996</v>
      </c>
      <c r="FK16" s="17">
        <v>15.61</v>
      </c>
      <c r="FL16" s="17"/>
      <c r="FM16" s="17"/>
      <c r="FN16" s="17"/>
      <c r="FO16" s="17">
        <v>116</v>
      </c>
      <c r="FP16" s="17">
        <v>105</v>
      </c>
      <c r="FQ16" s="17">
        <v>111</v>
      </c>
      <c r="FR16" s="17">
        <v>94</v>
      </c>
      <c r="FS16" s="17">
        <v>5.5</v>
      </c>
      <c r="FT16" s="17"/>
      <c r="FU16" s="17"/>
      <c r="FV16" s="17"/>
      <c r="FW16" s="17"/>
      <c r="FX16" s="17"/>
      <c r="FY16" s="17"/>
      <c r="FZ16" s="17">
        <v>0</v>
      </c>
      <c r="GA16" s="17">
        <v>2.7</v>
      </c>
      <c r="GB16" s="17">
        <v>36</v>
      </c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>
        <f t="shared" si="0"/>
        <v>47.16</v>
      </c>
      <c r="HH16" s="19">
        <f t="shared" si="1"/>
        <v>4.1957295373665477</v>
      </c>
      <c r="HI16" s="17">
        <f t="shared" si="7"/>
        <v>20.39</v>
      </c>
      <c r="HJ16" s="19">
        <f t="shared" si="8"/>
        <v>1.3062139654067906</v>
      </c>
      <c r="HL16" s="19">
        <f>HK16/FK16</f>
        <v>0</v>
      </c>
      <c r="HM16" s="17">
        <f>GZ16-GB16</f>
        <v>-36</v>
      </c>
      <c r="HN16" s="17" t="s">
        <v>381</v>
      </c>
      <c r="HO16">
        <v>12451</v>
      </c>
    </row>
    <row r="17" spans="1:223" x14ac:dyDescent="0.35">
      <c r="A17" t="s">
        <v>200</v>
      </c>
      <c r="B17" t="s">
        <v>201</v>
      </c>
      <c r="C17" s="3">
        <v>27445</v>
      </c>
      <c r="D17">
        <v>48</v>
      </c>
      <c r="E17">
        <v>91.1</v>
      </c>
      <c r="F17">
        <v>175</v>
      </c>
      <c r="G17">
        <v>29.7</v>
      </c>
      <c r="H17">
        <v>1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1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144</v>
      </c>
      <c r="AF17">
        <v>0</v>
      </c>
      <c r="AG17">
        <v>0</v>
      </c>
      <c r="AH17">
        <v>0</v>
      </c>
      <c r="AI17">
        <v>0</v>
      </c>
      <c r="AJ17" s="3">
        <v>44988</v>
      </c>
      <c r="AK17" t="s">
        <v>202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71</v>
      </c>
      <c r="AR17">
        <v>8</v>
      </c>
      <c r="AS17">
        <v>1</v>
      </c>
      <c r="AT17">
        <v>0</v>
      </c>
      <c r="AU17">
        <v>4</v>
      </c>
      <c r="AV17">
        <v>3</v>
      </c>
      <c r="AW17">
        <v>0</v>
      </c>
      <c r="AX17">
        <v>0</v>
      </c>
      <c r="AY17">
        <v>16.829999999999998</v>
      </c>
      <c r="AZ17">
        <v>12.5</v>
      </c>
      <c r="BA17">
        <v>298</v>
      </c>
      <c r="BB17">
        <v>55</v>
      </c>
      <c r="BC17">
        <v>3.9</v>
      </c>
      <c r="BD17">
        <v>37</v>
      </c>
      <c r="BE17">
        <v>142</v>
      </c>
      <c r="BF17">
        <v>109</v>
      </c>
      <c r="BG17">
        <v>7</v>
      </c>
      <c r="BH17">
        <v>18.899999999999999</v>
      </c>
      <c r="BI17">
        <v>0.33</v>
      </c>
      <c r="BJ17" t="s">
        <v>144</v>
      </c>
      <c r="BK17">
        <v>6.94</v>
      </c>
      <c r="BL17">
        <v>189</v>
      </c>
      <c r="BM17">
        <v>15</v>
      </c>
      <c r="BN17">
        <v>3</v>
      </c>
      <c r="BO17">
        <v>2.1</v>
      </c>
      <c r="BP17">
        <v>69</v>
      </c>
      <c r="BQ17">
        <v>110</v>
      </c>
      <c r="BR17">
        <v>14</v>
      </c>
      <c r="BS17">
        <v>15</v>
      </c>
      <c r="BT17">
        <v>536</v>
      </c>
      <c r="BU17">
        <v>43</v>
      </c>
      <c r="BV17" s="3">
        <v>44988</v>
      </c>
      <c r="BW17" t="s">
        <v>203</v>
      </c>
      <c r="BX17">
        <v>91</v>
      </c>
      <c r="BY17">
        <v>8</v>
      </c>
      <c r="BZ17">
        <v>1</v>
      </c>
      <c r="CA17">
        <v>0</v>
      </c>
      <c r="CB17">
        <v>4</v>
      </c>
      <c r="CC17">
        <v>3</v>
      </c>
      <c r="CD17">
        <v>0</v>
      </c>
      <c r="CE17">
        <v>0</v>
      </c>
      <c r="CF17">
        <v>16.829999999999998</v>
      </c>
      <c r="CG17">
        <v>12.5</v>
      </c>
      <c r="CH17">
        <v>298</v>
      </c>
      <c r="CI17">
        <v>55</v>
      </c>
      <c r="CJ17">
        <v>3.9</v>
      </c>
      <c r="CK17">
        <v>37</v>
      </c>
      <c r="CL17">
        <v>142</v>
      </c>
      <c r="CM17">
        <v>109</v>
      </c>
      <c r="CN17">
        <v>7</v>
      </c>
      <c r="CO17">
        <v>18.899999999999999</v>
      </c>
      <c r="CP17">
        <v>0.33</v>
      </c>
      <c r="CQ17" t="s">
        <v>144</v>
      </c>
      <c r="CR17">
        <v>6.94</v>
      </c>
      <c r="CS17">
        <v>189</v>
      </c>
      <c r="CT17">
        <v>15</v>
      </c>
      <c r="CU17">
        <v>3</v>
      </c>
      <c r="CV17">
        <v>2.1</v>
      </c>
      <c r="CW17">
        <v>69</v>
      </c>
      <c r="CX17">
        <v>110</v>
      </c>
      <c r="CY17">
        <v>14</v>
      </c>
      <c r="CZ17">
        <v>15</v>
      </c>
      <c r="DA17">
        <v>536</v>
      </c>
      <c r="DB17">
        <v>43</v>
      </c>
      <c r="DC17">
        <v>1</v>
      </c>
      <c r="DD17">
        <v>1</v>
      </c>
      <c r="DE17">
        <v>500</v>
      </c>
      <c r="DF17">
        <v>1500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86</v>
      </c>
      <c r="DP17">
        <v>46</v>
      </c>
      <c r="DQ17">
        <v>59</v>
      </c>
      <c r="DR17">
        <v>134</v>
      </c>
      <c r="DS17">
        <v>35.6</v>
      </c>
      <c r="DT17">
        <v>1</v>
      </c>
      <c r="DU17">
        <v>0</v>
      </c>
      <c r="DV17">
        <v>0</v>
      </c>
      <c r="DW17" t="s">
        <v>176</v>
      </c>
      <c r="DX17" t="s">
        <v>176</v>
      </c>
      <c r="DY17">
        <v>2</v>
      </c>
      <c r="DZ17">
        <v>3.2</v>
      </c>
      <c r="EA17">
        <v>30</v>
      </c>
      <c r="EB17">
        <v>15</v>
      </c>
      <c r="EC17">
        <v>0</v>
      </c>
      <c r="ED17">
        <v>0</v>
      </c>
      <c r="EE17">
        <v>0</v>
      </c>
      <c r="EF17">
        <v>0.9</v>
      </c>
      <c r="EG17" t="s">
        <v>176</v>
      </c>
      <c r="EH17" t="s">
        <v>144</v>
      </c>
      <c r="EI17" t="s">
        <v>144</v>
      </c>
      <c r="EJ17" t="s">
        <v>144</v>
      </c>
      <c r="EK17">
        <v>5</v>
      </c>
      <c r="EL17">
        <v>8.49</v>
      </c>
      <c r="EM17">
        <v>6.3</v>
      </c>
      <c r="EN17">
        <v>0.64</v>
      </c>
      <c r="EO17">
        <v>5.25</v>
      </c>
      <c r="EP17">
        <v>11.14</v>
      </c>
      <c r="EQ17">
        <v>56</v>
      </c>
      <c r="ER17">
        <v>40</v>
      </c>
      <c r="ES17">
        <v>48</v>
      </c>
      <c r="ET17">
        <v>127</v>
      </c>
      <c r="EU17">
        <v>3.6</v>
      </c>
      <c r="EV17" t="s">
        <v>144</v>
      </c>
      <c r="EW17">
        <v>3</v>
      </c>
      <c r="EX17">
        <v>6.36</v>
      </c>
      <c r="EY17">
        <v>13</v>
      </c>
      <c r="EZ17">
        <v>4.5</v>
      </c>
      <c r="FA17">
        <v>6.84</v>
      </c>
      <c r="FB17">
        <v>32.869999999999997</v>
      </c>
      <c r="FC17">
        <v>89</v>
      </c>
      <c r="FD17">
        <v>64</v>
      </c>
      <c r="FE17">
        <v>73</v>
      </c>
      <c r="FF17">
        <v>133</v>
      </c>
      <c r="FG17">
        <v>3.3</v>
      </c>
      <c r="FH17" t="s">
        <v>144</v>
      </c>
      <c r="FI17">
        <v>5</v>
      </c>
      <c r="FJ17">
        <v>7.59</v>
      </c>
      <c r="FK17">
        <v>6.29</v>
      </c>
      <c r="FL17">
        <v>1.17</v>
      </c>
      <c r="FM17">
        <v>4.46</v>
      </c>
      <c r="FN17">
        <v>11.84</v>
      </c>
      <c r="FO17">
        <v>89</v>
      </c>
      <c r="FP17">
        <v>53</v>
      </c>
      <c r="FQ17">
        <v>64</v>
      </c>
      <c r="FR17">
        <v>122</v>
      </c>
      <c r="FS17">
        <v>3.5</v>
      </c>
      <c r="FY17" t="s">
        <v>144</v>
      </c>
      <c r="FZ17">
        <v>4</v>
      </c>
      <c r="GA17">
        <v>6.26</v>
      </c>
      <c r="GB17">
        <v>14.74</v>
      </c>
      <c r="GC17">
        <v>8.85</v>
      </c>
      <c r="GD17">
        <v>7.78</v>
      </c>
      <c r="GE17">
        <v>119.11</v>
      </c>
      <c r="HE17">
        <v>1</v>
      </c>
      <c r="HF17" s="3">
        <v>45017</v>
      </c>
      <c r="HG17">
        <f t="shared" si="0"/>
        <v>6.7</v>
      </c>
      <c r="HH17" s="16">
        <f t="shared" si="1"/>
        <v>1.0634920634920635</v>
      </c>
      <c r="HI17">
        <f t="shared" si="7"/>
        <v>8.4499999999999993</v>
      </c>
      <c r="HJ17" s="16">
        <f t="shared" si="8"/>
        <v>1.3434022257551668</v>
      </c>
      <c r="HL17" s="16"/>
      <c r="HO17" s="17">
        <v>7940</v>
      </c>
    </row>
    <row r="18" spans="1:223" x14ac:dyDescent="0.35">
      <c r="A18" t="s">
        <v>353</v>
      </c>
      <c r="B18" t="s">
        <v>205</v>
      </c>
      <c r="C18" s="3">
        <v>23723</v>
      </c>
      <c r="D18">
        <v>58</v>
      </c>
      <c r="E18">
        <v>67</v>
      </c>
      <c r="F18">
        <v>170</v>
      </c>
      <c r="H18">
        <v>0</v>
      </c>
      <c r="I18">
        <v>1</v>
      </c>
      <c r="J18">
        <v>1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1</v>
      </c>
      <c r="AC18">
        <v>0</v>
      </c>
      <c r="AD18">
        <v>1</v>
      </c>
      <c r="AE18">
        <v>45</v>
      </c>
      <c r="AF18">
        <v>1</v>
      </c>
      <c r="AG18">
        <v>1</v>
      </c>
      <c r="AH18">
        <v>0</v>
      </c>
      <c r="AI18">
        <v>0</v>
      </c>
      <c r="AJ18" s="3">
        <v>45180</v>
      </c>
      <c r="AK18" t="s">
        <v>350</v>
      </c>
      <c r="AL18">
        <v>1</v>
      </c>
      <c r="AM18">
        <v>0</v>
      </c>
      <c r="AN18">
        <v>0</v>
      </c>
      <c r="AO18">
        <v>0</v>
      </c>
      <c r="AP18">
        <v>0</v>
      </c>
      <c r="AR18">
        <v>5</v>
      </c>
      <c r="AS18">
        <v>1</v>
      </c>
      <c r="AT18">
        <v>2</v>
      </c>
      <c r="AU18">
        <v>2</v>
      </c>
      <c r="AV18">
        <v>0</v>
      </c>
      <c r="AW18">
        <v>0</v>
      </c>
      <c r="AX18">
        <v>0</v>
      </c>
      <c r="AY18">
        <v>8.8000000000000007</v>
      </c>
      <c r="AZ18">
        <v>9.6</v>
      </c>
      <c r="BA18">
        <v>168</v>
      </c>
      <c r="BB18">
        <v>62</v>
      </c>
      <c r="BC18">
        <v>8.3000000000000007</v>
      </c>
      <c r="BD18">
        <v>99</v>
      </c>
      <c r="BE18">
        <v>149</v>
      </c>
      <c r="BF18">
        <v>118</v>
      </c>
      <c r="BG18">
        <v>13</v>
      </c>
      <c r="BH18">
        <v>250</v>
      </c>
      <c r="BJ18">
        <v>12.8</v>
      </c>
      <c r="BK18">
        <v>7.38</v>
      </c>
      <c r="BL18">
        <v>88</v>
      </c>
      <c r="BM18">
        <v>31</v>
      </c>
      <c r="BN18">
        <v>19</v>
      </c>
      <c r="BO18">
        <v>1.5</v>
      </c>
      <c r="BP18">
        <v>77</v>
      </c>
      <c r="BR18">
        <v>22</v>
      </c>
      <c r="BS18">
        <v>46</v>
      </c>
      <c r="BT18">
        <v>8</v>
      </c>
      <c r="BU18">
        <v>277</v>
      </c>
      <c r="BV18" s="3">
        <v>45180</v>
      </c>
      <c r="BW18" t="s">
        <v>318</v>
      </c>
      <c r="BX18">
        <v>67</v>
      </c>
      <c r="BY18">
        <v>5</v>
      </c>
      <c r="BZ18">
        <v>1</v>
      </c>
      <c r="CA18">
        <v>2</v>
      </c>
      <c r="CB18">
        <v>2</v>
      </c>
      <c r="CC18">
        <v>0</v>
      </c>
      <c r="CD18">
        <v>0</v>
      </c>
      <c r="CE18">
        <v>0</v>
      </c>
      <c r="CF18">
        <v>8.8000000000000007</v>
      </c>
      <c r="CG18">
        <v>9.6</v>
      </c>
      <c r="CH18">
        <v>168</v>
      </c>
      <c r="CI18">
        <v>62</v>
      </c>
      <c r="CJ18">
        <v>8.3000000000000007</v>
      </c>
      <c r="CK18">
        <v>99</v>
      </c>
      <c r="CL18">
        <v>149</v>
      </c>
      <c r="CM18">
        <v>118</v>
      </c>
      <c r="CN18">
        <v>13</v>
      </c>
      <c r="CO18">
        <v>250</v>
      </c>
      <c r="CQ18">
        <v>12.8</v>
      </c>
      <c r="CR18">
        <v>7.38</v>
      </c>
      <c r="CS18">
        <v>88</v>
      </c>
      <c r="CT18">
        <v>31</v>
      </c>
      <c r="CU18">
        <v>19</v>
      </c>
      <c r="CV18">
        <v>1.5</v>
      </c>
      <c r="CW18">
        <v>77</v>
      </c>
      <c r="CY18">
        <v>22</v>
      </c>
      <c r="CZ18">
        <v>40</v>
      </c>
      <c r="DA18">
        <v>8</v>
      </c>
      <c r="DB18">
        <v>277</v>
      </c>
      <c r="DC18">
        <v>2</v>
      </c>
      <c r="DD18">
        <v>1</v>
      </c>
      <c r="DE18">
        <v>500</v>
      </c>
      <c r="DF18">
        <v>500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86</v>
      </c>
      <c r="DP18">
        <v>66</v>
      </c>
      <c r="DQ18">
        <v>75</v>
      </c>
      <c r="DR18">
        <v>141</v>
      </c>
      <c r="DS18">
        <v>36.200000000000003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15</v>
      </c>
      <c r="DZ18">
        <v>6.3</v>
      </c>
      <c r="EA18">
        <v>40</v>
      </c>
      <c r="EB18">
        <v>13</v>
      </c>
      <c r="EC18">
        <v>50</v>
      </c>
      <c r="ED18">
        <v>0</v>
      </c>
      <c r="EE18">
        <v>0</v>
      </c>
      <c r="EF18">
        <v>0.6</v>
      </c>
      <c r="EG18">
        <v>6</v>
      </c>
      <c r="EH18" t="s">
        <v>144</v>
      </c>
      <c r="EI18" t="s">
        <v>144</v>
      </c>
      <c r="EJ18" t="s">
        <v>144</v>
      </c>
      <c r="EK18">
        <v>4</v>
      </c>
      <c r="EL18">
        <v>3.1</v>
      </c>
      <c r="EM18">
        <v>43.75</v>
      </c>
      <c r="EN18">
        <v>5.8</v>
      </c>
      <c r="EO18">
        <v>31</v>
      </c>
      <c r="EP18">
        <v>60</v>
      </c>
      <c r="EQ18">
        <v>94</v>
      </c>
      <c r="ER18">
        <v>64</v>
      </c>
      <c r="ES18">
        <v>74</v>
      </c>
      <c r="ET18">
        <v>136</v>
      </c>
      <c r="EU18">
        <v>7.1</v>
      </c>
      <c r="EV18" t="s">
        <v>144</v>
      </c>
      <c r="EW18">
        <v>4</v>
      </c>
      <c r="EX18">
        <v>2.2000000000000002</v>
      </c>
      <c r="EY18">
        <v>57.66</v>
      </c>
      <c r="FC18">
        <v>97</v>
      </c>
      <c r="FD18">
        <v>75</v>
      </c>
      <c r="FE18">
        <v>81</v>
      </c>
      <c r="FF18">
        <v>138</v>
      </c>
      <c r="FG18">
        <v>6.2</v>
      </c>
      <c r="FH18" t="s">
        <v>144</v>
      </c>
      <c r="FI18">
        <v>4</v>
      </c>
      <c r="FJ18">
        <v>2.98</v>
      </c>
      <c r="FK18">
        <v>40.86</v>
      </c>
      <c r="FO18">
        <v>106</v>
      </c>
      <c r="FP18">
        <v>71</v>
      </c>
      <c r="FQ18">
        <v>83</v>
      </c>
      <c r="FR18">
        <v>136</v>
      </c>
      <c r="FS18">
        <v>7.7</v>
      </c>
      <c r="FT18">
        <v>45</v>
      </c>
      <c r="FU18">
        <v>0.6</v>
      </c>
      <c r="FW18">
        <v>13</v>
      </c>
      <c r="FX18">
        <v>50</v>
      </c>
      <c r="FZ18">
        <v>3</v>
      </c>
      <c r="GA18">
        <v>2.2000000000000002</v>
      </c>
      <c r="GB18">
        <v>101.25</v>
      </c>
      <c r="GF18">
        <v>96</v>
      </c>
      <c r="GG18">
        <v>71</v>
      </c>
      <c r="GH18">
        <v>80</v>
      </c>
      <c r="GI18">
        <v>138</v>
      </c>
      <c r="GJ18">
        <v>5.7</v>
      </c>
      <c r="GL18">
        <v>3</v>
      </c>
      <c r="GM18">
        <v>2.2999999999999998</v>
      </c>
      <c r="GN18">
        <v>85.78</v>
      </c>
      <c r="HG18">
        <f t="shared" si="0"/>
        <v>13.909999999999997</v>
      </c>
      <c r="HH18" s="16">
        <f t="shared" si="1"/>
        <v>0.31794285714285708</v>
      </c>
      <c r="HI18">
        <f t="shared" si="7"/>
        <v>60.39</v>
      </c>
      <c r="HJ18" s="16">
        <f t="shared" si="8"/>
        <v>1.4779735682819384</v>
      </c>
      <c r="HO18">
        <v>79836</v>
      </c>
    </row>
    <row r="19" spans="1:223" x14ac:dyDescent="0.35">
      <c r="A19" t="s">
        <v>336</v>
      </c>
      <c r="B19" t="s">
        <v>337</v>
      </c>
      <c r="C19" s="3">
        <v>38384</v>
      </c>
      <c r="D19">
        <v>18</v>
      </c>
      <c r="E19">
        <v>77</v>
      </c>
      <c r="F19">
        <v>170</v>
      </c>
      <c r="H19">
        <v>1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144</v>
      </c>
      <c r="AJ19" s="3">
        <v>45172</v>
      </c>
      <c r="AK19" t="s">
        <v>338</v>
      </c>
      <c r="AL19">
        <v>0</v>
      </c>
      <c r="AM19">
        <v>0</v>
      </c>
      <c r="AN19">
        <v>0</v>
      </c>
      <c r="AO19">
        <v>1</v>
      </c>
      <c r="AP19">
        <v>0</v>
      </c>
      <c r="AR19">
        <v>3</v>
      </c>
      <c r="AS19">
        <v>1</v>
      </c>
      <c r="AT19">
        <v>0</v>
      </c>
      <c r="AU19">
        <v>1</v>
      </c>
      <c r="AV19">
        <v>1</v>
      </c>
      <c r="AW19">
        <v>0</v>
      </c>
      <c r="AX19">
        <v>0</v>
      </c>
      <c r="AY19">
        <v>24.4</v>
      </c>
      <c r="AZ19">
        <v>13.1</v>
      </c>
      <c r="BA19">
        <v>204</v>
      </c>
      <c r="BB19">
        <v>69</v>
      </c>
      <c r="BC19">
        <v>8.6</v>
      </c>
      <c r="BD19">
        <v>113</v>
      </c>
      <c r="BE19">
        <v>136</v>
      </c>
      <c r="BF19">
        <v>103</v>
      </c>
      <c r="BG19">
        <v>7</v>
      </c>
      <c r="BH19">
        <v>54</v>
      </c>
      <c r="BI19">
        <v>23.7</v>
      </c>
      <c r="BJ19" t="s">
        <v>144</v>
      </c>
      <c r="BK19">
        <v>6.9</v>
      </c>
      <c r="BL19">
        <v>131</v>
      </c>
      <c r="BM19">
        <v>14</v>
      </c>
      <c r="BN19">
        <v>3</v>
      </c>
      <c r="BO19">
        <v>4.5</v>
      </c>
      <c r="BP19">
        <v>65</v>
      </c>
      <c r="BQ19">
        <v>240</v>
      </c>
      <c r="BR19">
        <v>20</v>
      </c>
      <c r="BS19">
        <v>17</v>
      </c>
      <c r="BT19">
        <v>850</v>
      </c>
      <c r="BU19">
        <v>74</v>
      </c>
      <c r="BV19" s="3">
        <v>45173</v>
      </c>
      <c r="BW19" t="s">
        <v>339</v>
      </c>
      <c r="BX19">
        <v>77</v>
      </c>
      <c r="BY19">
        <v>3</v>
      </c>
      <c r="BZ19">
        <v>1</v>
      </c>
      <c r="CA19">
        <v>0</v>
      </c>
      <c r="CB19">
        <v>1</v>
      </c>
      <c r="CC19">
        <v>1</v>
      </c>
      <c r="CD19">
        <v>0</v>
      </c>
      <c r="CE19">
        <v>0</v>
      </c>
      <c r="CF19">
        <v>24.4</v>
      </c>
      <c r="CG19">
        <v>13.1</v>
      </c>
      <c r="CH19">
        <v>204</v>
      </c>
      <c r="CI19">
        <v>69</v>
      </c>
      <c r="CJ19">
        <v>8.6</v>
      </c>
      <c r="CK19">
        <v>113</v>
      </c>
      <c r="CL19">
        <v>136</v>
      </c>
      <c r="CM19">
        <v>103</v>
      </c>
      <c r="CN19">
        <v>7</v>
      </c>
      <c r="CO19">
        <v>54</v>
      </c>
      <c r="CP19">
        <v>23.7</v>
      </c>
      <c r="CQ19" t="s">
        <v>144</v>
      </c>
      <c r="CR19">
        <v>6.9</v>
      </c>
      <c r="CS19">
        <v>131</v>
      </c>
      <c r="CT19">
        <v>14</v>
      </c>
      <c r="CU19">
        <v>3</v>
      </c>
      <c r="CV19">
        <v>4.5</v>
      </c>
      <c r="CW19">
        <v>65</v>
      </c>
      <c r="CX19">
        <v>240</v>
      </c>
      <c r="CY19">
        <v>20</v>
      </c>
      <c r="CZ19">
        <v>17</v>
      </c>
      <c r="DA19">
        <v>850</v>
      </c>
      <c r="DB19">
        <v>74</v>
      </c>
      <c r="DC19" t="s">
        <v>340</v>
      </c>
      <c r="DD19">
        <v>1</v>
      </c>
      <c r="DE19">
        <v>500</v>
      </c>
      <c r="DF19">
        <v>2000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135</v>
      </c>
      <c r="DP19">
        <v>87</v>
      </c>
      <c r="DQ19">
        <v>100</v>
      </c>
      <c r="DR19">
        <v>132</v>
      </c>
      <c r="DS19">
        <v>38.5</v>
      </c>
      <c r="DT19">
        <v>1</v>
      </c>
      <c r="DU19">
        <v>0</v>
      </c>
      <c r="DV19">
        <v>0</v>
      </c>
      <c r="DW19">
        <v>0</v>
      </c>
      <c r="DX19">
        <v>21</v>
      </c>
      <c r="DY19">
        <v>0</v>
      </c>
      <c r="DZ19" t="s">
        <v>144</v>
      </c>
      <c r="EA19" t="s">
        <v>144</v>
      </c>
      <c r="EB19" t="s">
        <v>144</v>
      </c>
      <c r="EC19" t="s">
        <v>144</v>
      </c>
      <c r="ED19" t="s">
        <v>144</v>
      </c>
      <c r="EE19" t="s">
        <v>144</v>
      </c>
      <c r="EF19" t="s">
        <v>144</v>
      </c>
      <c r="EG19" t="s">
        <v>144</v>
      </c>
      <c r="EH19" t="s">
        <v>144</v>
      </c>
      <c r="EI19" t="s">
        <v>144</v>
      </c>
      <c r="EJ19" t="s">
        <v>144</v>
      </c>
      <c r="EK19" t="s">
        <v>144</v>
      </c>
      <c r="EL19">
        <v>4.5</v>
      </c>
      <c r="EM19">
        <v>19.260000000000002</v>
      </c>
      <c r="EN19">
        <v>2.5</v>
      </c>
      <c r="EO19">
        <v>13</v>
      </c>
      <c r="EP19">
        <v>25</v>
      </c>
      <c r="EQ19">
        <v>139</v>
      </c>
      <c r="ER19">
        <v>85</v>
      </c>
      <c r="ES19">
        <v>99</v>
      </c>
      <c r="ET19">
        <v>131</v>
      </c>
      <c r="EX19">
        <v>2.8</v>
      </c>
      <c r="EY19">
        <v>29.73</v>
      </c>
      <c r="FC19">
        <v>135</v>
      </c>
      <c r="FD19">
        <v>87</v>
      </c>
      <c r="FE19">
        <v>100</v>
      </c>
      <c r="FF19">
        <v>131</v>
      </c>
      <c r="FJ19">
        <v>4.4000000000000004</v>
      </c>
      <c r="FK19">
        <v>20.76</v>
      </c>
      <c r="FO19">
        <v>129</v>
      </c>
      <c r="FP19">
        <v>79</v>
      </c>
      <c r="FQ19">
        <v>93</v>
      </c>
      <c r="FR19">
        <v>127</v>
      </c>
      <c r="GA19">
        <v>3.7</v>
      </c>
      <c r="GB19">
        <v>54.81</v>
      </c>
      <c r="GR19">
        <v>129</v>
      </c>
      <c r="GS19">
        <v>79</v>
      </c>
      <c r="GT19">
        <v>93</v>
      </c>
      <c r="GU19">
        <v>124</v>
      </c>
      <c r="GY19">
        <v>3.9</v>
      </c>
      <c r="GZ19">
        <v>32.44</v>
      </c>
      <c r="HG19">
        <f t="shared" si="0"/>
        <v>10.469999999999999</v>
      </c>
      <c r="HH19" s="16">
        <f t="shared" si="1"/>
        <v>0.54361370716510893</v>
      </c>
      <c r="HI19">
        <f t="shared" si="7"/>
        <v>34.049999999999997</v>
      </c>
      <c r="HJ19" s="16">
        <f t="shared" si="8"/>
        <v>1.6401734104046239</v>
      </c>
      <c r="HK19">
        <f>GZ19-FK19</f>
        <v>11.679999999999996</v>
      </c>
      <c r="HL19" s="16">
        <f>HK19/FK19</f>
        <v>0.56262042389209999</v>
      </c>
      <c r="HM19">
        <f>GZ19-GB19</f>
        <v>-22.370000000000005</v>
      </c>
      <c r="HO19">
        <v>1450</v>
      </c>
    </row>
    <row r="20" spans="1:223" x14ac:dyDescent="0.35">
      <c r="A20" t="s">
        <v>348</v>
      </c>
      <c r="B20" t="s">
        <v>349</v>
      </c>
      <c r="C20" s="3">
        <v>21115</v>
      </c>
      <c r="D20">
        <v>65</v>
      </c>
      <c r="E20">
        <v>81</v>
      </c>
      <c r="F20">
        <v>157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J20" s="3">
        <v>45178</v>
      </c>
      <c r="AK20" t="s">
        <v>39</v>
      </c>
      <c r="AL20">
        <v>0</v>
      </c>
      <c r="AM20">
        <v>0</v>
      </c>
      <c r="AN20">
        <v>1</v>
      </c>
      <c r="AO20">
        <v>0</v>
      </c>
      <c r="AP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12.9</v>
      </c>
      <c r="AZ20">
        <v>7.2</v>
      </c>
      <c r="BA20">
        <v>218</v>
      </c>
      <c r="BB20">
        <v>45</v>
      </c>
      <c r="BC20">
        <v>5</v>
      </c>
      <c r="BD20">
        <v>62</v>
      </c>
      <c r="BE20">
        <v>139</v>
      </c>
      <c r="BF20">
        <v>111</v>
      </c>
      <c r="BG20">
        <v>4</v>
      </c>
      <c r="BH20">
        <v>4</v>
      </c>
      <c r="BJ20">
        <v>23.7</v>
      </c>
      <c r="BK20">
        <v>7.37</v>
      </c>
      <c r="BL20">
        <v>84</v>
      </c>
      <c r="BM20">
        <v>44</v>
      </c>
      <c r="BN20">
        <v>25</v>
      </c>
      <c r="BO20">
        <v>0.7</v>
      </c>
      <c r="BP20">
        <v>76</v>
      </c>
      <c r="BR20">
        <v>16</v>
      </c>
      <c r="BS20">
        <v>16</v>
      </c>
      <c r="BT20">
        <v>270</v>
      </c>
      <c r="BU20">
        <v>18</v>
      </c>
      <c r="BV20" s="3">
        <v>45178</v>
      </c>
      <c r="BW20" t="s">
        <v>195</v>
      </c>
      <c r="BX20">
        <v>81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12.9</v>
      </c>
      <c r="CG20">
        <v>7.2</v>
      </c>
      <c r="CH20">
        <v>218</v>
      </c>
      <c r="CI20">
        <v>45</v>
      </c>
      <c r="CJ20">
        <v>5</v>
      </c>
      <c r="CK20">
        <v>62</v>
      </c>
      <c r="CL20">
        <v>139</v>
      </c>
      <c r="CM20">
        <v>111</v>
      </c>
      <c r="CN20">
        <v>4</v>
      </c>
      <c r="CO20">
        <v>4</v>
      </c>
      <c r="CQ20">
        <v>23.7</v>
      </c>
      <c r="CR20">
        <v>7.37</v>
      </c>
      <c r="CS20">
        <v>84</v>
      </c>
      <c r="CT20">
        <v>44</v>
      </c>
      <c r="CU20">
        <v>25</v>
      </c>
      <c r="CV20">
        <v>0.7</v>
      </c>
      <c r="CW20">
        <v>76</v>
      </c>
      <c r="CY20">
        <v>16</v>
      </c>
      <c r="CZ20">
        <v>16</v>
      </c>
      <c r="DA20">
        <v>270</v>
      </c>
      <c r="DB20">
        <v>18</v>
      </c>
      <c r="DC20">
        <v>2</v>
      </c>
      <c r="DD20">
        <v>1</v>
      </c>
      <c r="DE20">
        <v>100</v>
      </c>
      <c r="DF20">
        <v>1000</v>
      </c>
      <c r="DG20">
        <v>100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128</v>
      </c>
      <c r="DP20">
        <v>54</v>
      </c>
      <c r="DQ20">
        <v>78</v>
      </c>
      <c r="DR20">
        <v>86</v>
      </c>
      <c r="DS20">
        <v>36.5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2</v>
      </c>
      <c r="DZ20">
        <v>5.6</v>
      </c>
      <c r="EA20">
        <v>50</v>
      </c>
      <c r="EB20" t="s">
        <v>144</v>
      </c>
      <c r="EC20" t="s">
        <v>144</v>
      </c>
      <c r="ED20">
        <v>0</v>
      </c>
      <c r="EE20">
        <v>0</v>
      </c>
      <c r="EF20">
        <v>0.6</v>
      </c>
      <c r="EG20">
        <v>11.1</v>
      </c>
      <c r="EH20">
        <v>13</v>
      </c>
      <c r="EI20" t="s">
        <v>144</v>
      </c>
      <c r="EJ20" t="s">
        <v>144</v>
      </c>
      <c r="EK20">
        <v>2</v>
      </c>
      <c r="EL20">
        <v>4.0999999999999996</v>
      </c>
      <c r="EM20">
        <v>14.84</v>
      </c>
      <c r="EN20">
        <v>2.8</v>
      </c>
      <c r="EO20">
        <v>8.5</v>
      </c>
      <c r="EP20">
        <v>21.6</v>
      </c>
      <c r="EQ20">
        <v>128</v>
      </c>
      <c r="ER20">
        <v>57</v>
      </c>
      <c r="ES20">
        <v>81</v>
      </c>
      <c r="ET20">
        <v>88</v>
      </c>
      <c r="EU20">
        <v>6.4</v>
      </c>
      <c r="EW20">
        <v>2</v>
      </c>
      <c r="EX20">
        <v>3.2</v>
      </c>
      <c r="EY20">
        <v>30.23</v>
      </c>
      <c r="FC20">
        <v>125</v>
      </c>
      <c r="FD20">
        <v>61</v>
      </c>
      <c r="FE20">
        <v>82</v>
      </c>
      <c r="FF20">
        <v>89</v>
      </c>
      <c r="FG20">
        <v>5.0999999999999996</v>
      </c>
      <c r="FH20">
        <v>15</v>
      </c>
      <c r="FI20">
        <v>2</v>
      </c>
      <c r="FJ20">
        <v>4.05</v>
      </c>
      <c r="FK20">
        <v>14.14</v>
      </c>
      <c r="FO20">
        <v>113</v>
      </c>
      <c r="FP20">
        <v>83</v>
      </c>
      <c r="FQ20">
        <v>94</v>
      </c>
      <c r="FR20">
        <v>90</v>
      </c>
      <c r="FS20">
        <v>6.4</v>
      </c>
      <c r="FT20">
        <v>50</v>
      </c>
      <c r="FU20">
        <v>0.7</v>
      </c>
      <c r="FW20">
        <v>11</v>
      </c>
      <c r="FX20">
        <v>50</v>
      </c>
      <c r="FZ20">
        <v>1</v>
      </c>
      <c r="GA20">
        <v>2.4</v>
      </c>
      <c r="GB20">
        <v>37.67</v>
      </c>
      <c r="GF20">
        <v>1</v>
      </c>
      <c r="GR20">
        <v>130</v>
      </c>
      <c r="GS20">
        <v>61</v>
      </c>
      <c r="GT20">
        <v>85</v>
      </c>
      <c r="GU20">
        <v>87</v>
      </c>
      <c r="GV20">
        <v>6</v>
      </c>
      <c r="GX20">
        <v>1</v>
      </c>
      <c r="GY20">
        <v>2.7</v>
      </c>
      <c r="GZ20">
        <v>28.41</v>
      </c>
      <c r="HG20">
        <f t="shared" si="0"/>
        <v>15.39</v>
      </c>
      <c r="HH20" s="16">
        <f t="shared" si="1"/>
        <v>1.0370619946091644</v>
      </c>
      <c r="HI20">
        <f t="shared" si="7"/>
        <v>23.53</v>
      </c>
      <c r="HJ20" s="16">
        <f t="shared" si="8"/>
        <v>1.6640735502121642</v>
      </c>
      <c r="HK20">
        <f>GZ20-FK20</f>
        <v>14.27</v>
      </c>
      <c r="HL20" s="16">
        <f>HK20/FK20</f>
        <v>1.0091937765205092</v>
      </c>
      <c r="HM20">
        <f>GZ20-GB20</f>
        <v>-9.2600000000000016</v>
      </c>
      <c r="HO20">
        <v>16962</v>
      </c>
    </row>
    <row r="21" spans="1:223" x14ac:dyDescent="0.35">
      <c r="A21" s="21" t="s">
        <v>279</v>
      </c>
      <c r="B21" s="21" t="s">
        <v>280</v>
      </c>
      <c r="C21" s="22">
        <v>26798</v>
      </c>
      <c r="D21" s="21">
        <v>49</v>
      </c>
      <c r="E21" s="21">
        <v>100</v>
      </c>
      <c r="F21" s="21">
        <v>180</v>
      </c>
      <c r="G21" s="21"/>
      <c r="H21" s="21">
        <v>0</v>
      </c>
      <c r="I21" s="21">
        <v>1</v>
      </c>
      <c r="J21" s="21"/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1</v>
      </c>
      <c r="R21" s="21">
        <v>0</v>
      </c>
      <c r="S21" s="21">
        <v>0</v>
      </c>
      <c r="T21" s="21">
        <v>0</v>
      </c>
      <c r="U21" s="21">
        <v>0</v>
      </c>
      <c r="V21" s="21">
        <v>1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1</v>
      </c>
      <c r="AD21" s="21">
        <v>0</v>
      </c>
      <c r="AE21" s="21" t="s">
        <v>144</v>
      </c>
      <c r="AF21" s="21">
        <v>0</v>
      </c>
      <c r="AG21" s="21">
        <v>0</v>
      </c>
      <c r="AH21" s="21">
        <v>0</v>
      </c>
      <c r="AI21" s="21">
        <v>0</v>
      </c>
      <c r="AJ21" s="22">
        <v>45050</v>
      </c>
      <c r="AK21" s="21" t="s">
        <v>281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95</v>
      </c>
      <c r="AR21" s="21">
        <v>9</v>
      </c>
      <c r="AS21" s="21">
        <v>4</v>
      </c>
      <c r="AT21" s="21">
        <v>0</v>
      </c>
      <c r="AU21" s="21">
        <v>4</v>
      </c>
      <c r="AV21" s="21">
        <v>1</v>
      </c>
      <c r="AW21" s="21">
        <v>0</v>
      </c>
      <c r="AX21" s="21">
        <v>0</v>
      </c>
      <c r="AY21" s="21">
        <v>11.3</v>
      </c>
      <c r="AZ21" s="21">
        <v>8</v>
      </c>
      <c r="BA21" s="21">
        <v>185</v>
      </c>
      <c r="BB21" s="21">
        <v>76</v>
      </c>
      <c r="BC21" s="21">
        <v>7.2</v>
      </c>
      <c r="BD21" s="21">
        <v>128</v>
      </c>
      <c r="BE21" s="21">
        <v>144</v>
      </c>
      <c r="BF21" s="21">
        <v>116</v>
      </c>
      <c r="BG21" s="21">
        <v>5</v>
      </c>
      <c r="BH21" s="21">
        <v>0</v>
      </c>
      <c r="BI21" s="21" t="s">
        <v>144</v>
      </c>
      <c r="BJ21" s="21" t="s">
        <v>144</v>
      </c>
      <c r="BK21" s="21">
        <v>7.29</v>
      </c>
      <c r="BL21" s="21">
        <v>463</v>
      </c>
      <c r="BM21" s="21">
        <v>24</v>
      </c>
      <c r="BN21" s="21">
        <v>12</v>
      </c>
      <c r="BO21" s="21">
        <v>5.0999999999999996</v>
      </c>
      <c r="BP21" s="21">
        <v>57</v>
      </c>
      <c r="BQ21" s="21">
        <v>58</v>
      </c>
      <c r="BR21" s="21">
        <v>133</v>
      </c>
      <c r="BS21" s="21">
        <v>98</v>
      </c>
      <c r="BT21" s="21">
        <v>675</v>
      </c>
      <c r="BU21" s="21">
        <v>167</v>
      </c>
      <c r="BV21" s="22">
        <v>45050</v>
      </c>
      <c r="BW21" s="21">
        <v>0</v>
      </c>
      <c r="BX21" s="21">
        <v>100</v>
      </c>
      <c r="BY21" s="21">
        <v>9</v>
      </c>
      <c r="BZ21" s="21">
        <v>4</v>
      </c>
      <c r="CA21" s="21">
        <v>0</v>
      </c>
      <c r="CB21" s="21">
        <v>4</v>
      </c>
      <c r="CC21" s="21">
        <v>1</v>
      </c>
      <c r="CD21" s="21">
        <v>0</v>
      </c>
      <c r="CE21" s="21">
        <v>0</v>
      </c>
      <c r="CF21" s="21">
        <v>11.3</v>
      </c>
      <c r="CG21" s="21">
        <v>8</v>
      </c>
      <c r="CH21" s="21">
        <v>185</v>
      </c>
      <c r="CI21" s="21">
        <v>76</v>
      </c>
      <c r="CJ21" s="21">
        <v>7.2</v>
      </c>
      <c r="CK21" s="21">
        <v>128</v>
      </c>
      <c r="CL21" s="21">
        <v>144</v>
      </c>
      <c r="CM21" s="21">
        <v>116</v>
      </c>
      <c r="CN21" s="21">
        <v>5</v>
      </c>
      <c r="CO21" s="21">
        <v>0</v>
      </c>
      <c r="CP21" s="21" t="s">
        <v>144</v>
      </c>
      <c r="CQ21" s="21" t="s">
        <v>144</v>
      </c>
      <c r="CR21" s="21">
        <v>7.29</v>
      </c>
      <c r="CS21" s="21">
        <v>463</v>
      </c>
      <c r="CT21" s="21">
        <v>24</v>
      </c>
      <c r="CU21" s="21">
        <v>12</v>
      </c>
      <c r="CV21" s="21">
        <v>5.0999999999999996</v>
      </c>
      <c r="CW21" s="21">
        <v>57</v>
      </c>
      <c r="CX21" s="21">
        <v>58</v>
      </c>
      <c r="CY21" s="21">
        <v>133</v>
      </c>
      <c r="CZ21" s="21">
        <v>98</v>
      </c>
      <c r="DA21" s="21">
        <v>675</v>
      </c>
      <c r="DB21" s="21">
        <v>167</v>
      </c>
      <c r="DC21" s="21">
        <v>1</v>
      </c>
      <c r="DD21" s="21">
        <v>1</v>
      </c>
      <c r="DE21" s="21">
        <v>500</v>
      </c>
      <c r="DF21" s="21">
        <v>1000</v>
      </c>
      <c r="DG21" s="21">
        <v>0</v>
      </c>
      <c r="DH21" s="21">
        <v>0.65</v>
      </c>
      <c r="DI21" s="21">
        <v>0</v>
      </c>
      <c r="DJ21" s="21">
        <v>0</v>
      </c>
      <c r="DK21" s="21">
        <v>200</v>
      </c>
      <c r="DL21" s="21">
        <v>15</v>
      </c>
      <c r="DM21" s="21">
        <v>0</v>
      </c>
      <c r="DN21" s="21">
        <v>0</v>
      </c>
      <c r="DO21" s="21">
        <v>103</v>
      </c>
      <c r="DP21" s="21">
        <v>54</v>
      </c>
      <c r="DQ21" s="21">
        <v>76</v>
      </c>
      <c r="DR21" s="21">
        <v>87</v>
      </c>
      <c r="DS21" s="21">
        <v>34.9</v>
      </c>
      <c r="DT21" s="21">
        <v>0</v>
      </c>
      <c r="DU21" s="21">
        <v>1</v>
      </c>
      <c r="DV21" s="21">
        <v>0</v>
      </c>
      <c r="DW21" s="21">
        <v>5</v>
      </c>
      <c r="DX21" s="21">
        <v>25</v>
      </c>
      <c r="DY21" s="21">
        <v>60</v>
      </c>
      <c r="DZ21" s="21">
        <v>6.9</v>
      </c>
      <c r="EA21" s="21">
        <v>50</v>
      </c>
      <c r="EB21" s="21">
        <v>17</v>
      </c>
      <c r="EC21" s="21">
        <v>100</v>
      </c>
      <c r="ED21" s="21">
        <v>0</v>
      </c>
      <c r="EE21" s="21">
        <v>0</v>
      </c>
      <c r="EF21" s="21">
        <v>1.4</v>
      </c>
      <c r="EG21" s="21">
        <v>4.9000000000000004</v>
      </c>
      <c r="EH21" s="21" t="s">
        <v>144</v>
      </c>
      <c r="EI21" s="21" t="s">
        <v>144</v>
      </c>
      <c r="EJ21" s="21" t="s">
        <v>144</v>
      </c>
      <c r="EK21" s="21">
        <v>0</v>
      </c>
      <c r="EL21" s="21">
        <v>1.6</v>
      </c>
      <c r="EM21" s="21">
        <v>44.56</v>
      </c>
      <c r="EN21" s="21">
        <v>7.95</v>
      </c>
      <c r="EO21" s="21">
        <v>29.8</v>
      </c>
      <c r="EP21" s="21">
        <v>65.3</v>
      </c>
      <c r="EQ21" s="21">
        <v>122</v>
      </c>
      <c r="ER21" s="21">
        <v>67</v>
      </c>
      <c r="ES21" s="21">
        <v>91</v>
      </c>
      <c r="ET21" s="21">
        <v>86</v>
      </c>
      <c r="EU21" s="21">
        <v>6.7</v>
      </c>
      <c r="EV21" s="21" t="s">
        <v>144</v>
      </c>
      <c r="EW21" s="21">
        <v>0</v>
      </c>
      <c r="EX21" s="21">
        <v>1.42</v>
      </c>
      <c r="EY21" s="21">
        <v>54.4</v>
      </c>
      <c r="EZ21" s="21"/>
      <c r="FA21" s="21"/>
      <c r="FB21" s="21"/>
      <c r="FC21" s="21">
        <v>121</v>
      </c>
      <c r="FD21" s="21">
        <v>66</v>
      </c>
      <c r="FE21" s="21">
        <v>91</v>
      </c>
      <c r="FF21" s="21">
        <v>88</v>
      </c>
      <c r="FG21" s="21">
        <v>7</v>
      </c>
      <c r="FH21" s="21" t="s">
        <v>144</v>
      </c>
      <c r="FI21" s="21">
        <v>0</v>
      </c>
      <c r="FJ21" s="21">
        <v>1.6</v>
      </c>
      <c r="FK21" s="21">
        <v>36.21</v>
      </c>
      <c r="FL21" s="21"/>
      <c r="FM21" s="21"/>
      <c r="FN21" s="21"/>
      <c r="FO21" s="21">
        <v>136</v>
      </c>
      <c r="FP21" s="21">
        <v>71</v>
      </c>
      <c r="FQ21" s="21">
        <v>99</v>
      </c>
      <c r="FR21" s="21">
        <v>88</v>
      </c>
      <c r="FS21" s="21">
        <v>7.3</v>
      </c>
      <c r="FT21" s="21">
        <v>50</v>
      </c>
      <c r="FU21" s="21">
        <v>1.2</v>
      </c>
      <c r="FV21" s="21">
        <v>5.4</v>
      </c>
      <c r="FW21" s="21">
        <v>17</v>
      </c>
      <c r="FX21" s="21">
        <v>0</v>
      </c>
      <c r="FY21" s="21" t="s">
        <v>144</v>
      </c>
      <c r="FZ21" s="21">
        <v>0</v>
      </c>
      <c r="GA21" s="21">
        <v>1.17</v>
      </c>
      <c r="GB21" s="21">
        <v>96.47</v>
      </c>
      <c r="GC21" s="21"/>
      <c r="GD21" s="21"/>
      <c r="GE21" s="21"/>
      <c r="GF21" s="21">
        <v>136</v>
      </c>
      <c r="GG21" s="21">
        <v>71</v>
      </c>
      <c r="GH21" s="21">
        <v>99</v>
      </c>
      <c r="GI21" s="21">
        <v>89</v>
      </c>
      <c r="GJ21" s="21">
        <v>7</v>
      </c>
      <c r="GK21" s="21" t="s">
        <v>144</v>
      </c>
      <c r="GL21" s="21">
        <v>0</v>
      </c>
      <c r="GM21" s="21">
        <v>1.44</v>
      </c>
      <c r="GN21" s="21">
        <v>85.34</v>
      </c>
      <c r="GO21" s="21"/>
      <c r="GP21" s="21"/>
      <c r="GQ21" s="21"/>
      <c r="GR21" s="21">
        <v>129</v>
      </c>
      <c r="GS21" s="21">
        <v>66</v>
      </c>
      <c r="GT21" s="21">
        <v>93</v>
      </c>
      <c r="GU21" s="21">
        <v>89</v>
      </c>
      <c r="GV21" s="21">
        <v>6.9</v>
      </c>
      <c r="GW21" s="21" t="s">
        <v>144</v>
      </c>
      <c r="GX21" s="21">
        <v>0</v>
      </c>
      <c r="GY21" s="21">
        <v>1.79</v>
      </c>
      <c r="GZ21" s="21">
        <v>60.2</v>
      </c>
      <c r="HA21" s="21"/>
      <c r="HB21" s="21"/>
      <c r="HC21" s="21"/>
      <c r="HD21" s="21">
        <v>1</v>
      </c>
      <c r="HE21" s="21">
        <v>1</v>
      </c>
      <c r="HF21" s="22">
        <v>45057</v>
      </c>
      <c r="HG21" s="21">
        <f t="shared" si="0"/>
        <v>9.8399999999999963</v>
      </c>
      <c r="HH21" s="23">
        <f t="shared" si="1"/>
        <v>0.22082585278276473</v>
      </c>
      <c r="HI21" s="21">
        <f t="shared" si="7"/>
        <v>60.26</v>
      </c>
      <c r="HJ21" s="23">
        <f t="shared" si="8"/>
        <v>1.664181165423916</v>
      </c>
      <c r="HK21">
        <f>GZ21-FK21</f>
        <v>23.990000000000002</v>
      </c>
      <c r="HL21" s="23">
        <f>HK21/FK21</f>
        <v>0.66252416459541563</v>
      </c>
      <c r="HM21" s="21">
        <f>GZ21-GB21</f>
        <v>-36.269999999999996</v>
      </c>
      <c r="HN21" s="21" t="s">
        <v>380</v>
      </c>
      <c r="HO21" s="21">
        <v>36942</v>
      </c>
    </row>
    <row r="22" spans="1:223" x14ac:dyDescent="0.35">
      <c r="A22" t="s">
        <v>357</v>
      </c>
      <c r="B22" t="s">
        <v>358</v>
      </c>
      <c r="C22" s="3">
        <v>16733</v>
      </c>
      <c r="D22">
        <v>77</v>
      </c>
      <c r="E22">
        <v>55</v>
      </c>
      <c r="F22">
        <v>169</v>
      </c>
      <c r="H22">
        <v>0</v>
      </c>
      <c r="I22">
        <v>1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1</v>
      </c>
      <c r="AC22">
        <v>1</v>
      </c>
      <c r="AD22">
        <v>0</v>
      </c>
      <c r="AJ22" s="3">
        <v>45181</v>
      </c>
      <c r="AK22" t="s">
        <v>359</v>
      </c>
      <c r="AL22">
        <v>1</v>
      </c>
      <c r="AM22">
        <v>0</v>
      </c>
      <c r="AN22">
        <v>0</v>
      </c>
      <c r="AO22">
        <v>0</v>
      </c>
      <c r="AP22">
        <v>0</v>
      </c>
      <c r="AR22">
        <v>8</v>
      </c>
      <c r="AS22">
        <v>4</v>
      </c>
      <c r="AT22">
        <v>0</v>
      </c>
      <c r="AU22">
        <v>2</v>
      </c>
      <c r="AV22">
        <v>2</v>
      </c>
      <c r="AW22">
        <v>0</v>
      </c>
      <c r="AX22">
        <v>0</v>
      </c>
      <c r="AY22">
        <v>7.6</v>
      </c>
      <c r="AZ22">
        <v>11.1</v>
      </c>
      <c r="BA22">
        <v>329</v>
      </c>
      <c r="BB22">
        <v>76</v>
      </c>
      <c r="BC22">
        <v>12</v>
      </c>
      <c r="BD22">
        <v>267</v>
      </c>
      <c r="BE22">
        <v>132</v>
      </c>
      <c r="BF22">
        <v>97</v>
      </c>
      <c r="BG22">
        <v>11</v>
      </c>
      <c r="BH22">
        <v>288</v>
      </c>
      <c r="BK22">
        <v>7.45</v>
      </c>
      <c r="BL22">
        <v>84</v>
      </c>
      <c r="BM22">
        <v>25</v>
      </c>
      <c r="BN22">
        <v>17</v>
      </c>
      <c r="BO22">
        <v>5.0999999999999996</v>
      </c>
      <c r="BR22">
        <v>26</v>
      </c>
      <c r="BS22">
        <v>16</v>
      </c>
      <c r="BV22" s="3">
        <v>45181</v>
      </c>
      <c r="BW22" t="s">
        <v>318</v>
      </c>
      <c r="BX22">
        <v>77</v>
      </c>
      <c r="BY22">
        <v>8</v>
      </c>
      <c r="BZ22">
        <v>4</v>
      </c>
      <c r="CA22">
        <v>0</v>
      </c>
      <c r="CB22">
        <v>2</v>
      </c>
      <c r="CC22">
        <v>2</v>
      </c>
      <c r="CD22">
        <v>0</v>
      </c>
      <c r="CE22">
        <v>0</v>
      </c>
      <c r="CF22">
        <v>7.6</v>
      </c>
      <c r="CG22">
        <v>11.1</v>
      </c>
      <c r="CH22">
        <v>329</v>
      </c>
      <c r="CI22">
        <v>76</v>
      </c>
      <c r="CJ22">
        <v>12</v>
      </c>
      <c r="CK22">
        <v>267</v>
      </c>
      <c r="CL22">
        <v>132</v>
      </c>
      <c r="CM22">
        <v>97</v>
      </c>
      <c r="CN22">
        <v>11</v>
      </c>
      <c r="CO22">
        <v>288</v>
      </c>
      <c r="CR22">
        <v>7.45</v>
      </c>
      <c r="CS22">
        <v>84</v>
      </c>
      <c r="CT22">
        <v>25</v>
      </c>
      <c r="CU22">
        <v>17</v>
      </c>
      <c r="CV22">
        <v>5.0999999999999996</v>
      </c>
      <c r="CY22">
        <v>26</v>
      </c>
      <c r="CZ22">
        <v>16</v>
      </c>
      <c r="DC22">
        <v>3</v>
      </c>
      <c r="DD22">
        <v>1</v>
      </c>
      <c r="DE22">
        <v>500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90</v>
      </c>
      <c r="DP22">
        <v>61</v>
      </c>
      <c r="DQ22">
        <v>70</v>
      </c>
      <c r="DR22">
        <v>112</v>
      </c>
      <c r="DS22">
        <v>39.4</v>
      </c>
      <c r="DT22">
        <v>1</v>
      </c>
      <c r="DU22">
        <v>0</v>
      </c>
      <c r="DV22">
        <v>0</v>
      </c>
      <c r="DW22">
        <v>0</v>
      </c>
      <c r="DY22">
        <v>9</v>
      </c>
      <c r="DZ22">
        <v>2.5</v>
      </c>
      <c r="EA22">
        <v>30</v>
      </c>
      <c r="EB22">
        <v>5</v>
      </c>
      <c r="EC22">
        <v>100</v>
      </c>
      <c r="ED22">
        <v>0</v>
      </c>
      <c r="EE22">
        <v>0</v>
      </c>
      <c r="EL22">
        <v>5.5</v>
      </c>
      <c r="EM22">
        <v>13.9</v>
      </c>
      <c r="EN22">
        <v>3.49</v>
      </c>
      <c r="EO22">
        <v>9</v>
      </c>
      <c r="EP22">
        <v>42</v>
      </c>
      <c r="EQ22">
        <v>89</v>
      </c>
      <c r="ER22">
        <v>61</v>
      </c>
      <c r="ES22">
        <v>69</v>
      </c>
      <c r="ET22">
        <v>107</v>
      </c>
      <c r="EX22">
        <v>2.66</v>
      </c>
      <c r="EY22">
        <v>52.39</v>
      </c>
      <c r="FC22">
        <v>95</v>
      </c>
      <c r="FD22">
        <v>64</v>
      </c>
      <c r="FE22">
        <v>72</v>
      </c>
      <c r="FF22">
        <v>106</v>
      </c>
      <c r="FJ22">
        <v>5.0999999999999996</v>
      </c>
      <c r="FK22">
        <v>20.350000000000001</v>
      </c>
      <c r="FO22">
        <v>102</v>
      </c>
      <c r="FP22">
        <v>60</v>
      </c>
      <c r="FQ22">
        <v>73</v>
      </c>
      <c r="FR22">
        <v>105</v>
      </c>
      <c r="GA22">
        <v>3.6</v>
      </c>
      <c r="GB22">
        <v>60.24</v>
      </c>
      <c r="GR22">
        <v>102</v>
      </c>
      <c r="GS22">
        <v>66</v>
      </c>
      <c r="GT22">
        <v>73</v>
      </c>
      <c r="GU22">
        <v>107</v>
      </c>
      <c r="GY22">
        <v>3.6</v>
      </c>
      <c r="GZ22">
        <v>23.8</v>
      </c>
      <c r="HG22">
        <f t="shared" si="0"/>
        <v>38.49</v>
      </c>
      <c r="HH22" s="16">
        <f t="shared" si="1"/>
        <v>2.7690647482014388</v>
      </c>
      <c r="HI22">
        <f t="shared" si="7"/>
        <v>39.89</v>
      </c>
      <c r="HJ22" s="16">
        <f t="shared" si="8"/>
        <v>1.9601965601965601</v>
      </c>
      <c r="HK22">
        <f>GZ22-FK22</f>
        <v>3.4499999999999993</v>
      </c>
      <c r="HO22">
        <v>25673</v>
      </c>
    </row>
    <row r="23" spans="1:223" x14ac:dyDescent="0.35">
      <c r="A23" t="s">
        <v>287</v>
      </c>
      <c r="B23" t="s">
        <v>288</v>
      </c>
      <c r="C23" s="3">
        <v>24852</v>
      </c>
      <c r="D23">
        <v>55</v>
      </c>
      <c r="E23">
        <v>37</v>
      </c>
      <c r="F23">
        <v>170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144</v>
      </c>
      <c r="AF23">
        <v>0</v>
      </c>
      <c r="AG23">
        <v>0</v>
      </c>
      <c r="AH23">
        <v>0</v>
      </c>
      <c r="AI23">
        <v>0</v>
      </c>
      <c r="AJ23" s="3">
        <v>45062</v>
      </c>
      <c r="AK23" t="s">
        <v>289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20</v>
      </c>
      <c r="AR23">
        <v>2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0</v>
      </c>
      <c r="BV23" s="3">
        <v>45063</v>
      </c>
      <c r="BW23" t="s">
        <v>186</v>
      </c>
      <c r="BX23">
        <v>37</v>
      </c>
      <c r="BY23">
        <v>2</v>
      </c>
      <c r="BZ23">
        <v>1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15.3</v>
      </c>
      <c r="CG23">
        <v>106</v>
      </c>
      <c r="CH23">
        <v>259</v>
      </c>
      <c r="CJ23">
        <v>4.5</v>
      </c>
      <c r="CK23">
        <v>41</v>
      </c>
      <c r="CL23">
        <v>135</v>
      </c>
      <c r="CM23">
        <v>103</v>
      </c>
      <c r="CN23">
        <v>7</v>
      </c>
      <c r="CO23">
        <v>194</v>
      </c>
      <c r="CP23">
        <v>76</v>
      </c>
      <c r="CQ23" t="s">
        <v>144</v>
      </c>
      <c r="CR23">
        <v>7.46</v>
      </c>
      <c r="CS23">
        <v>102</v>
      </c>
      <c r="CT23">
        <v>29</v>
      </c>
      <c r="CU23">
        <v>21</v>
      </c>
      <c r="CV23">
        <v>1.8</v>
      </c>
      <c r="CW23">
        <v>55</v>
      </c>
      <c r="CX23">
        <v>107</v>
      </c>
      <c r="CY23">
        <v>42</v>
      </c>
      <c r="CZ23">
        <v>27</v>
      </c>
      <c r="DA23">
        <v>423</v>
      </c>
      <c r="DB23">
        <v>784</v>
      </c>
      <c r="DC23">
        <v>1</v>
      </c>
      <c r="DD23">
        <v>1</v>
      </c>
      <c r="DE23">
        <v>500</v>
      </c>
      <c r="DF23">
        <v>1500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107</v>
      </c>
      <c r="DP23">
        <v>76</v>
      </c>
      <c r="DQ23">
        <v>85</v>
      </c>
      <c r="DR23">
        <v>118</v>
      </c>
      <c r="DS23">
        <v>38.1</v>
      </c>
      <c r="DT23">
        <v>1</v>
      </c>
      <c r="DU23">
        <v>0</v>
      </c>
      <c r="DV23">
        <v>0</v>
      </c>
      <c r="DW23">
        <v>0</v>
      </c>
      <c r="DX23">
        <v>21</v>
      </c>
      <c r="DY23">
        <v>0</v>
      </c>
      <c r="DZ23">
        <v>4.2</v>
      </c>
      <c r="EA23">
        <v>50</v>
      </c>
      <c r="EB23">
        <v>13</v>
      </c>
      <c r="EC23">
        <v>100</v>
      </c>
      <c r="ED23">
        <v>0</v>
      </c>
      <c r="EE23">
        <v>0</v>
      </c>
      <c r="EF23">
        <v>0.7</v>
      </c>
      <c r="EG23">
        <v>5.9</v>
      </c>
      <c r="EH23" t="s">
        <v>144</v>
      </c>
      <c r="EI23" t="s">
        <v>144</v>
      </c>
      <c r="EJ23" t="s">
        <v>144</v>
      </c>
      <c r="EK23">
        <v>1</v>
      </c>
      <c r="EL23">
        <v>3.59</v>
      </c>
      <c r="EM23">
        <v>5.95</v>
      </c>
      <c r="EN23">
        <v>1.1599999999999999</v>
      </c>
      <c r="EO23">
        <v>0.05</v>
      </c>
      <c r="EP23">
        <v>9.98</v>
      </c>
      <c r="EQ23">
        <v>116</v>
      </c>
      <c r="ER23">
        <v>74</v>
      </c>
      <c r="ES23">
        <v>87</v>
      </c>
      <c r="ET23">
        <v>120</v>
      </c>
      <c r="EU23">
        <v>4.4000000000000004</v>
      </c>
      <c r="EV23" t="s">
        <v>144</v>
      </c>
      <c r="EW23">
        <v>1</v>
      </c>
      <c r="EX23">
        <v>2.04</v>
      </c>
      <c r="EY23">
        <v>35.57</v>
      </c>
      <c r="FC23">
        <v>105</v>
      </c>
      <c r="FD23">
        <v>69</v>
      </c>
      <c r="FE23">
        <v>80</v>
      </c>
      <c r="FF23">
        <v>118</v>
      </c>
      <c r="FG23">
        <v>4.2</v>
      </c>
      <c r="FH23" t="s">
        <v>144</v>
      </c>
      <c r="FI23">
        <v>1</v>
      </c>
      <c r="FJ23">
        <v>3.1</v>
      </c>
      <c r="FK23">
        <v>10.29</v>
      </c>
      <c r="FO23">
        <v>113</v>
      </c>
      <c r="FP23">
        <v>73</v>
      </c>
      <c r="FQ23">
        <v>86</v>
      </c>
      <c r="FR23">
        <v>124</v>
      </c>
      <c r="FS23">
        <v>4.4000000000000004</v>
      </c>
      <c r="FY23" t="s">
        <v>144</v>
      </c>
      <c r="FZ23">
        <v>0</v>
      </c>
      <c r="GA23">
        <v>2.9</v>
      </c>
      <c r="GB23">
        <v>67.75</v>
      </c>
      <c r="GF23">
        <v>111</v>
      </c>
      <c r="GG23">
        <v>77</v>
      </c>
      <c r="GH23">
        <v>86</v>
      </c>
      <c r="GI23">
        <v>127</v>
      </c>
      <c r="GJ23">
        <v>4.5</v>
      </c>
      <c r="GK23" t="s">
        <v>144</v>
      </c>
      <c r="GL23">
        <v>0</v>
      </c>
      <c r="GM23">
        <v>1.65</v>
      </c>
      <c r="GN23">
        <v>43.37</v>
      </c>
      <c r="GR23">
        <v>99</v>
      </c>
      <c r="GS23">
        <v>67</v>
      </c>
      <c r="GT23">
        <v>75</v>
      </c>
      <c r="GU23">
        <v>127</v>
      </c>
      <c r="GV23">
        <v>4.4000000000000004</v>
      </c>
      <c r="GW23" t="s">
        <v>144</v>
      </c>
      <c r="GX23">
        <v>0</v>
      </c>
      <c r="GY23">
        <v>1.7</v>
      </c>
      <c r="GZ23">
        <v>96.59</v>
      </c>
      <c r="HD23">
        <v>0</v>
      </c>
      <c r="HE23">
        <v>0</v>
      </c>
      <c r="HG23">
        <f t="shared" si="0"/>
        <v>29.62</v>
      </c>
      <c r="HH23" s="16">
        <f t="shared" si="1"/>
        <v>4.9781512605042018</v>
      </c>
      <c r="HI23">
        <f t="shared" si="7"/>
        <v>57.46</v>
      </c>
      <c r="HJ23" s="16">
        <f t="shared" si="8"/>
        <v>5.5840621963070944</v>
      </c>
      <c r="HK23">
        <f>GZ23-FK23</f>
        <v>86.300000000000011</v>
      </c>
      <c r="HL23" s="16">
        <f>HK23/FK23</f>
        <v>8.3867832847424708</v>
      </c>
      <c r="HM23">
        <f>GZ23-GB23</f>
        <v>28.840000000000003</v>
      </c>
      <c r="HO23" s="21">
        <v>51639</v>
      </c>
    </row>
  </sheetData>
  <autoFilter ref="A1:HO1" xr:uid="{00000000-0009-0000-0000-000002000000}">
    <sortState ref="A2:HO23">
      <sortCondition ref="HJ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V22"/>
  <sheetViews>
    <sheetView tabSelected="1" zoomScale="90" zoomScaleNormal="90" workbookViewId="0">
      <pane xSplit="7930" ySplit="7550" topLeftCell="A25"/>
      <selection sqref="A1:B1048576"/>
      <selection pane="topRight" activeCell="A28" sqref="A28"/>
      <selection pane="bottomLeft" activeCell="F21" sqref="F21"/>
      <selection pane="bottomRight" activeCell="DL29" sqref="DL29"/>
    </sheetView>
  </sheetViews>
  <sheetFormatPr baseColWidth="10" defaultRowHeight="14.5" x14ac:dyDescent="0.35"/>
  <cols>
    <col min="38" max="38" width="40.1796875" bestFit="1" customWidth="1"/>
    <col min="110" max="110" width="40.54296875" bestFit="1" customWidth="1"/>
    <col min="111" max="111" width="12.7265625" bestFit="1" customWidth="1"/>
    <col min="112" max="112" width="35.453125" bestFit="1" customWidth="1"/>
    <col min="128" max="128" width="26.81640625" bestFit="1" customWidth="1"/>
    <col min="134" max="134" width="19.54296875" bestFit="1" customWidth="1"/>
  </cols>
  <sheetData>
    <row r="1" spans="1:230" x14ac:dyDescent="0.35">
      <c r="DK1" s="41" t="s">
        <v>257</v>
      </c>
      <c r="DL1" s="41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3" t="s">
        <v>258</v>
      </c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5" t="s">
        <v>259</v>
      </c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7" t="s">
        <v>260</v>
      </c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8" t="s">
        <v>265</v>
      </c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39" t="s">
        <v>266</v>
      </c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</row>
    <row r="2" spans="1:230" x14ac:dyDescent="0.35">
      <c r="A2" s="4" t="s">
        <v>406</v>
      </c>
      <c r="B2" s="4" t="s">
        <v>2</v>
      </c>
      <c r="C2" s="5" t="s">
        <v>3</v>
      </c>
      <c r="D2" s="5" t="s">
        <v>4</v>
      </c>
      <c r="E2" s="5" t="s">
        <v>5</v>
      </c>
      <c r="F2" s="5"/>
      <c r="G2" s="5" t="s">
        <v>6</v>
      </c>
      <c r="H2" s="5" t="s">
        <v>7</v>
      </c>
      <c r="I2" s="5" t="s">
        <v>8</v>
      </c>
      <c r="J2" s="5" t="s">
        <v>404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7" t="s">
        <v>35</v>
      </c>
      <c r="AL2" s="7" t="s">
        <v>36</v>
      </c>
      <c r="AM2" s="7"/>
      <c r="AN2" s="7" t="s">
        <v>37</v>
      </c>
      <c r="AO2" s="7" t="s">
        <v>38</v>
      </c>
      <c r="AP2" s="7" t="s">
        <v>39</v>
      </c>
      <c r="AQ2" s="7" t="s">
        <v>40</v>
      </c>
      <c r="AR2" s="7" t="s">
        <v>41</v>
      </c>
      <c r="AS2" s="7" t="s">
        <v>42</v>
      </c>
      <c r="AT2" s="7" t="s">
        <v>43</v>
      </c>
      <c r="AU2" s="7" t="s">
        <v>44</v>
      </c>
      <c r="AV2" s="7" t="s">
        <v>45</v>
      </c>
      <c r="AW2" s="7" t="s">
        <v>46</v>
      </c>
      <c r="AX2" s="7" t="s">
        <v>47</v>
      </c>
      <c r="AY2" s="7" t="s">
        <v>48</v>
      </c>
      <c r="AZ2" s="7" t="s">
        <v>49</v>
      </c>
      <c r="BA2" s="6" t="s">
        <v>50</v>
      </c>
      <c r="BB2" s="6" t="s">
        <v>70</v>
      </c>
      <c r="BC2" s="6" t="s">
        <v>51</v>
      </c>
      <c r="BD2" s="6" t="s">
        <v>71</v>
      </c>
      <c r="BE2" s="6" t="s">
        <v>72</v>
      </c>
      <c r="BF2" s="6" t="s">
        <v>73</v>
      </c>
      <c r="BG2" s="6" t="s">
        <v>74</v>
      </c>
      <c r="BH2" s="6" t="s">
        <v>75</v>
      </c>
      <c r="BI2" s="6" t="s">
        <v>76</v>
      </c>
      <c r="BJ2" s="6" t="s">
        <v>77</v>
      </c>
      <c r="BK2" s="6" t="s">
        <v>78</v>
      </c>
      <c r="BL2" s="6" t="s">
        <v>79</v>
      </c>
      <c r="BM2" s="6" t="s">
        <v>80</v>
      </c>
      <c r="BN2" s="6" t="s">
        <v>81</v>
      </c>
      <c r="BO2" s="6" t="s">
        <v>82</v>
      </c>
      <c r="BP2" s="6" t="s">
        <v>83</v>
      </c>
      <c r="BQ2" s="6" t="s">
        <v>84</v>
      </c>
      <c r="BR2" s="6" t="s">
        <v>85</v>
      </c>
      <c r="BS2" s="6" t="s">
        <v>86</v>
      </c>
      <c r="BT2" s="6" t="s">
        <v>87</v>
      </c>
      <c r="BU2" s="6" t="s">
        <v>88</v>
      </c>
      <c r="BV2" s="6" t="s">
        <v>89</v>
      </c>
      <c r="BW2" s="6" t="s">
        <v>90</v>
      </c>
      <c r="BX2" s="14" t="s">
        <v>147</v>
      </c>
      <c r="BY2" s="14" t="s">
        <v>148</v>
      </c>
      <c r="BZ2" s="14" t="s">
        <v>149</v>
      </c>
      <c r="CA2" s="14" t="s">
        <v>150</v>
      </c>
      <c r="CB2" s="14" t="s">
        <v>44</v>
      </c>
      <c r="CC2" s="14" t="s">
        <v>45</v>
      </c>
      <c r="CD2" s="14" t="s">
        <v>46</v>
      </c>
      <c r="CE2" s="14" t="s">
        <v>47</v>
      </c>
      <c r="CF2" s="14" t="s">
        <v>48</v>
      </c>
      <c r="CG2" s="14" t="s">
        <v>69</v>
      </c>
      <c r="CH2" s="14" t="s">
        <v>145</v>
      </c>
      <c r="CI2" s="14" t="s">
        <v>151</v>
      </c>
      <c r="CJ2" s="14" t="s">
        <v>152</v>
      </c>
      <c r="CK2" s="14" t="s">
        <v>153</v>
      </c>
      <c r="CL2" s="14" t="s">
        <v>154</v>
      </c>
      <c r="CM2" s="14" t="s">
        <v>155</v>
      </c>
      <c r="CN2" s="14" t="s">
        <v>156</v>
      </c>
      <c r="CO2" s="14" t="s">
        <v>157</v>
      </c>
      <c r="CP2" s="14" t="s">
        <v>158</v>
      </c>
      <c r="CQ2" s="14" t="s">
        <v>159</v>
      </c>
      <c r="CR2" s="14" t="s">
        <v>160</v>
      </c>
      <c r="CS2" s="14" t="s">
        <v>161</v>
      </c>
      <c r="CT2" s="14" t="s">
        <v>162</v>
      </c>
      <c r="CU2" s="14" t="s">
        <v>163</v>
      </c>
      <c r="CV2" s="14" t="s">
        <v>164</v>
      </c>
      <c r="CW2" s="14" t="s">
        <v>165</v>
      </c>
      <c r="CX2" s="14" t="s">
        <v>174</v>
      </c>
      <c r="CY2" s="14" t="s">
        <v>166</v>
      </c>
      <c r="CZ2" s="14" t="s">
        <v>167</v>
      </c>
      <c r="DA2" s="14" t="s">
        <v>168</v>
      </c>
      <c r="DB2" s="14" t="s">
        <v>169</v>
      </c>
      <c r="DC2" s="14" t="s">
        <v>170</v>
      </c>
      <c r="DD2" s="14" t="s">
        <v>171</v>
      </c>
      <c r="DE2" s="14" t="s">
        <v>175</v>
      </c>
      <c r="DF2" s="8" t="s">
        <v>92</v>
      </c>
      <c r="DG2" s="8" t="s">
        <v>91</v>
      </c>
      <c r="DH2" s="9" t="s">
        <v>255</v>
      </c>
      <c r="DI2" s="9"/>
      <c r="DJ2" s="9" t="s">
        <v>256</v>
      </c>
      <c r="DK2" s="10" t="s">
        <v>52</v>
      </c>
      <c r="DL2" s="10"/>
      <c r="DM2" s="10" t="s">
        <v>53</v>
      </c>
      <c r="DN2" s="10" t="s">
        <v>54</v>
      </c>
      <c r="DO2" s="10" t="s">
        <v>55</v>
      </c>
      <c r="DP2" s="10" t="s">
        <v>56</v>
      </c>
      <c r="DQ2" s="10" t="s">
        <v>57</v>
      </c>
      <c r="DR2" s="10" t="s">
        <v>58</v>
      </c>
      <c r="DS2" s="10" t="s">
        <v>93</v>
      </c>
      <c r="DT2" s="10" t="s">
        <v>94</v>
      </c>
      <c r="DU2" s="10" t="s">
        <v>95</v>
      </c>
      <c r="DV2" s="10" t="s">
        <v>96</v>
      </c>
      <c r="DW2" s="10" t="s">
        <v>97</v>
      </c>
      <c r="DX2" s="10" t="s">
        <v>98</v>
      </c>
      <c r="DY2" s="10" t="s">
        <v>99</v>
      </c>
      <c r="DZ2" s="10" t="s">
        <v>100</v>
      </c>
      <c r="EA2" s="10" t="s">
        <v>101</v>
      </c>
      <c r="EB2" s="10" t="s">
        <v>102</v>
      </c>
      <c r="EC2" s="10" t="s">
        <v>103</v>
      </c>
      <c r="ED2" s="10" t="s">
        <v>104</v>
      </c>
      <c r="EE2" s="10" t="s">
        <v>105</v>
      </c>
      <c r="EF2" s="10" t="s">
        <v>106</v>
      </c>
      <c r="EG2" s="10" t="s">
        <v>107</v>
      </c>
      <c r="EH2" s="10" t="s">
        <v>108</v>
      </c>
      <c r="EI2" s="10" t="s">
        <v>109</v>
      </c>
      <c r="EJ2" s="10" t="s">
        <v>110</v>
      </c>
      <c r="EK2" s="10" t="s">
        <v>111</v>
      </c>
      <c r="EL2" s="10" t="s">
        <v>112</v>
      </c>
      <c r="EM2" s="10" t="s">
        <v>118</v>
      </c>
      <c r="EN2" s="10" t="s">
        <v>119</v>
      </c>
      <c r="EO2" s="10" t="s">
        <v>113</v>
      </c>
      <c r="EP2" s="10" t="s">
        <v>114</v>
      </c>
      <c r="EQ2" s="10" t="s">
        <v>115</v>
      </c>
      <c r="ER2" s="10" t="s">
        <v>116</v>
      </c>
      <c r="ES2" s="10" t="s">
        <v>117</v>
      </c>
      <c r="ET2" s="10" t="s">
        <v>120</v>
      </c>
      <c r="EU2" s="5" t="s">
        <v>122</v>
      </c>
      <c r="EV2" s="5" t="s">
        <v>121</v>
      </c>
      <c r="EW2" s="5" t="s">
        <v>59</v>
      </c>
      <c r="EX2" s="5" t="s">
        <v>60</v>
      </c>
      <c r="EY2" s="5" t="s">
        <v>61</v>
      </c>
      <c r="EZ2" s="5" t="s">
        <v>62</v>
      </c>
      <c r="FA2" s="5" t="s">
        <v>63</v>
      </c>
      <c r="FB2" s="5" t="s">
        <v>64</v>
      </c>
      <c r="FC2" s="5" t="s">
        <v>65</v>
      </c>
      <c r="FD2" s="5" t="s">
        <v>66</v>
      </c>
      <c r="FE2" s="5" t="s">
        <v>67</v>
      </c>
      <c r="FF2" s="5" t="s">
        <v>68</v>
      </c>
      <c r="FG2" s="13" t="s">
        <v>123</v>
      </c>
      <c r="FH2" s="13" t="s">
        <v>124</v>
      </c>
      <c r="FI2" s="13" t="s">
        <v>125</v>
      </c>
      <c r="FJ2" s="13" t="s">
        <v>126</v>
      </c>
      <c r="FK2" s="13" t="s">
        <v>127</v>
      </c>
      <c r="FL2" s="13" t="s">
        <v>128</v>
      </c>
      <c r="FM2" s="13" t="s">
        <v>63</v>
      </c>
      <c r="FN2" s="13" t="s">
        <v>129</v>
      </c>
      <c r="FO2" s="13" t="s">
        <v>130</v>
      </c>
      <c r="FP2" s="13" t="s">
        <v>66</v>
      </c>
      <c r="FQ2" s="13" t="s">
        <v>67</v>
      </c>
      <c r="FR2" s="13" t="s">
        <v>68</v>
      </c>
      <c r="FS2" s="12" t="s">
        <v>131</v>
      </c>
      <c r="FT2" s="12" t="s">
        <v>132</v>
      </c>
      <c r="FU2" s="12" t="s">
        <v>133</v>
      </c>
      <c r="FV2" s="12" t="s">
        <v>134</v>
      </c>
      <c r="FW2" s="12" t="s">
        <v>135</v>
      </c>
      <c r="FX2" s="12" t="s">
        <v>30</v>
      </c>
      <c r="FY2" s="12" t="s">
        <v>261</v>
      </c>
      <c r="FZ2" s="12" t="s">
        <v>262</v>
      </c>
      <c r="GA2" s="12" t="s">
        <v>263</v>
      </c>
      <c r="GB2" s="12" t="s">
        <v>264</v>
      </c>
      <c r="GC2" s="12" t="s">
        <v>136</v>
      </c>
      <c r="GD2" s="12" t="s">
        <v>63</v>
      </c>
      <c r="GE2" s="12" t="s">
        <v>137</v>
      </c>
      <c r="GF2" s="12" t="s">
        <v>138</v>
      </c>
      <c r="GG2" s="12" t="s">
        <v>139</v>
      </c>
      <c r="GH2" s="12" t="s">
        <v>140</v>
      </c>
      <c r="GI2" s="12" t="s">
        <v>141</v>
      </c>
      <c r="GJ2" s="11" t="s">
        <v>269</v>
      </c>
      <c r="GK2" s="11" t="s">
        <v>270</v>
      </c>
      <c r="GL2" s="11" t="s">
        <v>271</v>
      </c>
      <c r="GM2" s="11" t="s">
        <v>272</v>
      </c>
      <c r="GN2" s="11" t="s">
        <v>61</v>
      </c>
      <c r="GO2" s="11" t="s">
        <v>273</v>
      </c>
      <c r="GP2" s="11" t="s">
        <v>63</v>
      </c>
      <c r="GQ2" s="11" t="s">
        <v>274</v>
      </c>
      <c r="GR2" s="11" t="s">
        <v>275</v>
      </c>
      <c r="GS2" s="11" t="s">
        <v>66</v>
      </c>
      <c r="GT2" s="11" t="s">
        <v>67</v>
      </c>
      <c r="GU2" s="11" t="s">
        <v>68</v>
      </c>
      <c r="GV2" s="15" t="s">
        <v>276</v>
      </c>
      <c r="GW2" s="15" t="s">
        <v>270</v>
      </c>
      <c r="GX2" s="15" t="s">
        <v>271</v>
      </c>
      <c r="GY2" s="15" t="s">
        <v>60</v>
      </c>
      <c r="GZ2" s="15" t="s">
        <v>61</v>
      </c>
      <c r="HA2" s="15" t="s">
        <v>273</v>
      </c>
      <c r="HB2" s="15" t="s">
        <v>63</v>
      </c>
      <c r="HC2" s="15" t="s">
        <v>64</v>
      </c>
      <c r="HD2" s="15" t="s">
        <v>130</v>
      </c>
      <c r="HE2" s="15" t="s">
        <v>66</v>
      </c>
      <c r="HF2" s="15" t="s">
        <v>67</v>
      </c>
      <c r="HG2" s="15" t="s">
        <v>68</v>
      </c>
      <c r="HH2" s="4" t="s">
        <v>278</v>
      </c>
      <c r="HI2" s="4" t="s">
        <v>277</v>
      </c>
      <c r="HJ2" s="4" t="s">
        <v>177</v>
      </c>
      <c r="HK2" s="4" t="s">
        <v>324</v>
      </c>
      <c r="HL2" s="4" t="s">
        <v>334</v>
      </c>
      <c r="HM2" s="4" t="s">
        <v>325</v>
      </c>
      <c r="HN2" s="4" t="s">
        <v>334</v>
      </c>
      <c r="HO2" s="4" t="s">
        <v>391</v>
      </c>
      <c r="HP2" s="4" t="s">
        <v>332</v>
      </c>
      <c r="HQ2" s="4" t="s">
        <v>334</v>
      </c>
      <c r="HR2" s="4" t="s">
        <v>333</v>
      </c>
      <c r="HS2" s="4" t="s">
        <v>392</v>
      </c>
      <c r="HT2" s="4" t="s">
        <v>393</v>
      </c>
      <c r="HU2" s="4" t="s">
        <v>394</v>
      </c>
      <c r="HV2" s="4" t="s">
        <v>395</v>
      </c>
    </row>
    <row r="3" spans="1:230" x14ac:dyDescent="0.35">
      <c r="A3" t="s">
        <v>407</v>
      </c>
      <c r="B3" s="3">
        <v>18139</v>
      </c>
      <c r="C3">
        <v>74</v>
      </c>
      <c r="D3">
        <v>60</v>
      </c>
      <c r="E3">
        <v>177</v>
      </c>
      <c r="F3">
        <f t="shared" ref="F3:F12" si="0">E3/100</f>
        <v>1.77</v>
      </c>
      <c r="G3">
        <f>D3/(F3*F3)</f>
        <v>19.151584793641671</v>
      </c>
      <c r="H3">
        <v>0</v>
      </c>
      <c r="I3">
        <v>1</v>
      </c>
      <c r="J3">
        <v>56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  <c r="Z3">
        <v>1</v>
      </c>
      <c r="AA3">
        <v>1</v>
      </c>
      <c r="AB3">
        <v>0</v>
      </c>
      <c r="AC3">
        <v>1</v>
      </c>
      <c r="AD3">
        <v>0</v>
      </c>
      <c r="AE3">
        <v>1</v>
      </c>
      <c r="AF3">
        <v>50</v>
      </c>
      <c r="AK3" s="3">
        <v>45171</v>
      </c>
      <c r="AL3" t="s">
        <v>351</v>
      </c>
      <c r="AN3">
        <v>1</v>
      </c>
      <c r="AO3">
        <v>1</v>
      </c>
      <c r="AP3">
        <v>0</v>
      </c>
      <c r="AQ3">
        <v>0</v>
      </c>
      <c r="AR3">
        <v>0</v>
      </c>
      <c r="AT3">
        <v>11</v>
      </c>
      <c r="AU3">
        <v>4</v>
      </c>
      <c r="AV3">
        <v>1</v>
      </c>
      <c r="AW3">
        <v>2</v>
      </c>
      <c r="AX3">
        <v>1</v>
      </c>
      <c r="AY3">
        <v>1</v>
      </c>
      <c r="AZ3">
        <v>2</v>
      </c>
      <c r="BA3">
        <v>16.399999999999999</v>
      </c>
      <c r="BB3">
        <v>11.3</v>
      </c>
      <c r="BC3">
        <v>80</v>
      </c>
      <c r="BD3">
        <v>68</v>
      </c>
      <c r="BE3">
        <v>12</v>
      </c>
      <c r="BF3">
        <v>143</v>
      </c>
      <c r="BG3">
        <v>134</v>
      </c>
      <c r="BH3">
        <v>98</v>
      </c>
      <c r="BI3">
        <v>21</v>
      </c>
      <c r="BJ3">
        <v>386</v>
      </c>
      <c r="BM3">
        <v>7.5</v>
      </c>
      <c r="BN3">
        <v>77</v>
      </c>
      <c r="BO3">
        <v>28</v>
      </c>
      <c r="BP3">
        <v>22</v>
      </c>
      <c r="BQ3">
        <v>2.1</v>
      </c>
      <c r="BR3">
        <v>67</v>
      </c>
      <c r="BS3">
        <v>87</v>
      </c>
      <c r="BT3">
        <v>480</v>
      </c>
      <c r="BU3">
        <v>96</v>
      </c>
      <c r="BV3">
        <v>826</v>
      </c>
      <c r="BW3">
        <v>13761</v>
      </c>
      <c r="BX3" s="3">
        <v>45173</v>
      </c>
      <c r="BY3">
        <v>43</v>
      </c>
      <c r="BZ3">
        <v>60.5</v>
      </c>
      <c r="CA3">
        <v>12</v>
      </c>
      <c r="CB3">
        <v>4</v>
      </c>
      <c r="CC3">
        <v>1</v>
      </c>
      <c r="CD3">
        <v>1</v>
      </c>
      <c r="CE3">
        <v>3</v>
      </c>
      <c r="CF3">
        <v>1</v>
      </c>
      <c r="CG3">
        <v>2</v>
      </c>
      <c r="CH3">
        <v>17.399999999999999</v>
      </c>
      <c r="CI3">
        <v>8.3000000000000007</v>
      </c>
      <c r="CJ3">
        <v>56</v>
      </c>
      <c r="CK3">
        <v>56</v>
      </c>
      <c r="CL3">
        <v>21</v>
      </c>
      <c r="CM3">
        <v>312</v>
      </c>
      <c r="CN3">
        <v>127</v>
      </c>
      <c r="CO3">
        <v>98</v>
      </c>
      <c r="CP3">
        <v>22</v>
      </c>
      <c r="CT3">
        <v>7.33</v>
      </c>
      <c r="CU3">
        <v>77</v>
      </c>
      <c r="CV3">
        <v>41</v>
      </c>
      <c r="CW3">
        <v>20</v>
      </c>
      <c r="CX3">
        <v>1.2</v>
      </c>
      <c r="CY3">
        <v>71</v>
      </c>
      <c r="DA3">
        <v>371</v>
      </c>
      <c r="DB3">
        <v>89</v>
      </c>
      <c r="DC3">
        <v>979</v>
      </c>
      <c r="DD3">
        <v>4698</v>
      </c>
      <c r="DE3">
        <v>1</v>
      </c>
      <c r="DF3">
        <v>1</v>
      </c>
      <c r="DG3">
        <v>500</v>
      </c>
      <c r="DI3">
        <v>0</v>
      </c>
      <c r="DJ3">
        <v>0</v>
      </c>
      <c r="DK3">
        <v>0.13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112</v>
      </c>
      <c r="DT3">
        <v>61</v>
      </c>
      <c r="DU3">
        <v>78</v>
      </c>
      <c r="DV3">
        <v>96</v>
      </c>
      <c r="DW3">
        <v>37.200000000000003</v>
      </c>
      <c r="DX3">
        <v>1</v>
      </c>
      <c r="DY3">
        <v>0</v>
      </c>
      <c r="DZ3">
        <v>0</v>
      </c>
      <c r="EA3">
        <v>0</v>
      </c>
      <c r="EB3">
        <v>60</v>
      </c>
      <c r="EC3">
        <v>50</v>
      </c>
      <c r="ED3">
        <v>5.9</v>
      </c>
      <c r="EE3">
        <v>50</v>
      </c>
      <c r="EF3">
        <v>20</v>
      </c>
      <c r="EG3">
        <v>0</v>
      </c>
      <c r="EH3">
        <v>0</v>
      </c>
      <c r="EI3">
        <v>0</v>
      </c>
      <c r="EJ3">
        <v>1.1000000000000001</v>
      </c>
      <c r="EO3">
        <v>0</v>
      </c>
      <c r="EP3">
        <v>1.1000000000000001</v>
      </c>
      <c r="EQ3">
        <v>386.94</v>
      </c>
      <c r="ER3">
        <v>21.55</v>
      </c>
      <c r="ES3">
        <v>297</v>
      </c>
      <c r="ET3">
        <v>448</v>
      </c>
      <c r="EU3">
        <v>102</v>
      </c>
      <c r="EV3">
        <v>49</v>
      </c>
      <c r="EW3">
        <v>70</v>
      </c>
      <c r="EX3">
        <v>93</v>
      </c>
      <c r="FA3">
        <v>0</v>
      </c>
      <c r="FB3">
        <v>1.6</v>
      </c>
      <c r="FC3">
        <v>252.47</v>
      </c>
      <c r="FG3">
        <v>115</v>
      </c>
      <c r="FH3">
        <v>61</v>
      </c>
      <c r="FI3">
        <v>84</v>
      </c>
      <c r="FJ3">
        <v>90</v>
      </c>
      <c r="FK3">
        <v>5.9</v>
      </c>
      <c r="FM3">
        <v>0</v>
      </c>
      <c r="FN3">
        <v>1.2</v>
      </c>
      <c r="FO3">
        <v>300</v>
      </c>
      <c r="FS3">
        <v>119</v>
      </c>
      <c r="FT3">
        <v>62</v>
      </c>
      <c r="FU3">
        <v>87</v>
      </c>
      <c r="FV3">
        <v>93</v>
      </c>
      <c r="GD3">
        <v>0</v>
      </c>
      <c r="GE3">
        <v>1.3</v>
      </c>
      <c r="GF3">
        <v>154.44999999999999</v>
      </c>
      <c r="GJ3">
        <v>122</v>
      </c>
      <c r="GK3">
        <v>61</v>
      </c>
      <c r="GL3">
        <v>87</v>
      </c>
      <c r="GM3">
        <v>91</v>
      </c>
      <c r="GP3">
        <v>0</v>
      </c>
      <c r="GQ3">
        <v>0.9</v>
      </c>
      <c r="GR3">
        <v>178.18</v>
      </c>
      <c r="GV3">
        <v>122</v>
      </c>
      <c r="GW3">
        <v>61</v>
      </c>
      <c r="GX3">
        <v>87</v>
      </c>
      <c r="GY3">
        <v>91</v>
      </c>
      <c r="HB3">
        <v>0</v>
      </c>
      <c r="HC3">
        <v>0.9</v>
      </c>
      <c r="HD3">
        <v>178.18</v>
      </c>
      <c r="HK3">
        <f t="shared" ref="HK3:HK12" si="1">FC3-EQ3</f>
        <v>-134.47</v>
      </c>
      <c r="HL3" s="16">
        <f t="shared" ref="HL3:HL12" si="2">HK3/EQ3</f>
        <v>-0.3475215795730604</v>
      </c>
      <c r="HM3">
        <f t="shared" ref="HM3:HM12" si="3">GF3-FO3</f>
        <v>-145.55000000000001</v>
      </c>
      <c r="HN3" s="16">
        <f t="shared" ref="HN3:HN12" si="4">HM3/FO3</f>
        <v>-0.48516666666666669</v>
      </c>
      <c r="HO3" s="26">
        <f t="shared" ref="HO3:HO12" si="5">HM3-HK3</f>
        <v>-11.080000000000013</v>
      </c>
      <c r="HP3">
        <f>HD3-FO3</f>
        <v>-121.82</v>
      </c>
      <c r="HQ3" s="16">
        <f>HP3/FO3</f>
        <v>-0.40606666666666663</v>
      </c>
      <c r="HR3">
        <f>HD3-GF3</f>
        <v>23.730000000000018</v>
      </c>
    </row>
    <row r="4" spans="1:230" x14ac:dyDescent="0.35">
      <c r="A4" t="s">
        <v>408</v>
      </c>
      <c r="B4" s="3">
        <v>24433</v>
      </c>
      <c r="C4">
        <v>56</v>
      </c>
      <c r="D4">
        <v>64</v>
      </c>
      <c r="E4">
        <v>177</v>
      </c>
      <c r="F4">
        <f t="shared" si="0"/>
        <v>1.77</v>
      </c>
      <c r="G4">
        <f>D4/(F4*F4)</f>
        <v>20.428357113217785</v>
      </c>
      <c r="H4">
        <v>0</v>
      </c>
      <c r="I4">
        <v>1</v>
      </c>
      <c r="J4" s="31">
        <v>62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 t="s">
        <v>144</v>
      </c>
      <c r="AK4" s="3">
        <v>45122</v>
      </c>
      <c r="AL4" t="s">
        <v>304</v>
      </c>
      <c r="AN4">
        <v>1</v>
      </c>
      <c r="AO4">
        <v>1</v>
      </c>
      <c r="AP4">
        <v>0</v>
      </c>
      <c r="AQ4">
        <v>0</v>
      </c>
      <c r="AR4">
        <v>0</v>
      </c>
      <c r="AT4">
        <v>14</v>
      </c>
      <c r="AU4">
        <v>4</v>
      </c>
      <c r="AV4">
        <v>3</v>
      </c>
      <c r="AW4">
        <v>3</v>
      </c>
      <c r="AX4">
        <v>2</v>
      </c>
      <c r="AY4">
        <v>2</v>
      </c>
      <c r="AZ4">
        <v>0</v>
      </c>
      <c r="BA4">
        <v>9.9</v>
      </c>
      <c r="BB4">
        <v>10.3</v>
      </c>
      <c r="BC4">
        <v>320</v>
      </c>
      <c r="BD4">
        <v>65</v>
      </c>
      <c r="BE4">
        <v>17.3</v>
      </c>
      <c r="BF4">
        <v>332</v>
      </c>
      <c r="BG4">
        <v>131</v>
      </c>
      <c r="BH4">
        <v>96</v>
      </c>
      <c r="BI4">
        <v>55</v>
      </c>
      <c r="BJ4" t="s">
        <v>144</v>
      </c>
      <c r="BK4">
        <v>0.32</v>
      </c>
      <c r="BL4" t="s">
        <v>144</v>
      </c>
      <c r="BM4">
        <v>7.4</v>
      </c>
      <c r="BN4">
        <v>62</v>
      </c>
      <c r="BO4">
        <v>33</v>
      </c>
      <c r="BP4">
        <v>20</v>
      </c>
      <c r="BQ4">
        <v>5.2</v>
      </c>
      <c r="BR4">
        <v>51</v>
      </c>
      <c r="BS4" t="s">
        <v>144</v>
      </c>
      <c r="BT4">
        <v>46</v>
      </c>
      <c r="BU4">
        <v>26</v>
      </c>
      <c r="BV4">
        <v>367</v>
      </c>
      <c r="BW4">
        <v>93</v>
      </c>
      <c r="BX4" s="3">
        <v>45127</v>
      </c>
      <c r="BZ4">
        <v>52.5</v>
      </c>
      <c r="CA4">
        <v>14</v>
      </c>
      <c r="CB4">
        <v>4</v>
      </c>
      <c r="CC4">
        <v>2</v>
      </c>
      <c r="CD4">
        <v>3</v>
      </c>
      <c r="CE4">
        <v>3</v>
      </c>
      <c r="CF4">
        <v>2</v>
      </c>
      <c r="CG4">
        <v>0</v>
      </c>
      <c r="CH4">
        <v>15.2</v>
      </c>
      <c r="CI4">
        <v>9.3000000000000007</v>
      </c>
      <c r="CJ4">
        <v>234</v>
      </c>
      <c r="CK4">
        <v>67</v>
      </c>
      <c r="CL4">
        <v>44</v>
      </c>
      <c r="CM4">
        <v>360</v>
      </c>
      <c r="CN4">
        <v>142</v>
      </c>
      <c r="CO4">
        <v>108</v>
      </c>
      <c r="CP4">
        <v>45</v>
      </c>
      <c r="CQ4" t="s">
        <v>282</v>
      </c>
      <c r="CR4" t="s">
        <v>282</v>
      </c>
      <c r="CS4" t="s">
        <v>282</v>
      </c>
      <c r="CT4">
        <v>7.4</v>
      </c>
      <c r="CU4">
        <v>70</v>
      </c>
      <c r="CV4">
        <v>30</v>
      </c>
      <c r="CW4">
        <v>19</v>
      </c>
      <c r="CX4">
        <v>1.3</v>
      </c>
      <c r="CY4">
        <v>53</v>
      </c>
      <c r="CZ4" t="s">
        <v>144</v>
      </c>
      <c r="DA4">
        <v>50</v>
      </c>
      <c r="DB4">
        <v>29</v>
      </c>
      <c r="DC4">
        <v>513</v>
      </c>
      <c r="DD4">
        <v>70</v>
      </c>
      <c r="DE4">
        <v>1</v>
      </c>
      <c r="DF4">
        <v>2</v>
      </c>
      <c r="DG4">
        <v>100</v>
      </c>
      <c r="DH4">
        <v>1000</v>
      </c>
      <c r="DI4">
        <v>1</v>
      </c>
      <c r="DJ4">
        <v>2</v>
      </c>
      <c r="DK4">
        <v>0.18</v>
      </c>
      <c r="DL4">
        <v>1</v>
      </c>
      <c r="DM4">
        <v>0</v>
      </c>
      <c r="DN4">
        <v>0</v>
      </c>
      <c r="DO4">
        <v>80</v>
      </c>
      <c r="DP4">
        <v>0</v>
      </c>
      <c r="DQ4">
        <v>0</v>
      </c>
      <c r="DR4">
        <v>0</v>
      </c>
      <c r="DS4">
        <v>111</v>
      </c>
      <c r="DT4">
        <v>53</v>
      </c>
      <c r="DU4">
        <v>74</v>
      </c>
      <c r="DV4">
        <v>107</v>
      </c>
      <c r="DW4">
        <v>36.6</v>
      </c>
      <c r="DX4">
        <v>0</v>
      </c>
      <c r="DY4">
        <v>1</v>
      </c>
      <c r="DZ4">
        <v>0</v>
      </c>
      <c r="EA4">
        <v>5</v>
      </c>
      <c r="EB4">
        <v>30</v>
      </c>
      <c r="EC4">
        <v>60</v>
      </c>
      <c r="ED4">
        <v>7.8</v>
      </c>
      <c r="EE4">
        <v>50</v>
      </c>
      <c r="EF4">
        <v>15</v>
      </c>
      <c r="EG4">
        <v>0</v>
      </c>
      <c r="EH4">
        <v>0</v>
      </c>
      <c r="EI4">
        <v>0</v>
      </c>
      <c r="EJ4">
        <v>0.8</v>
      </c>
      <c r="EK4">
        <v>5.4</v>
      </c>
      <c r="EL4" t="s">
        <v>144</v>
      </c>
      <c r="EM4" t="s">
        <v>144</v>
      </c>
      <c r="EN4" t="s">
        <v>144</v>
      </c>
      <c r="EO4">
        <v>0</v>
      </c>
      <c r="EP4">
        <v>1.2</v>
      </c>
      <c r="EQ4">
        <v>175.08</v>
      </c>
      <c r="ER4">
        <v>24.1</v>
      </c>
      <c r="ES4">
        <v>115</v>
      </c>
      <c r="ET4">
        <v>255</v>
      </c>
      <c r="EU4">
        <v>112</v>
      </c>
      <c r="EV4">
        <v>51</v>
      </c>
      <c r="EW4">
        <v>74</v>
      </c>
      <c r="EX4">
        <v>108</v>
      </c>
      <c r="EY4">
        <v>7.6</v>
      </c>
      <c r="EZ4" t="s">
        <v>144</v>
      </c>
      <c r="FA4">
        <v>0</v>
      </c>
      <c r="FB4">
        <v>1.2</v>
      </c>
      <c r="FC4">
        <v>172.1</v>
      </c>
      <c r="FD4">
        <v>56.1</v>
      </c>
      <c r="FE4">
        <v>14.2</v>
      </c>
      <c r="FF4">
        <v>431</v>
      </c>
      <c r="FG4">
        <v>116</v>
      </c>
      <c r="FH4">
        <v>56</v>
      </c>
      <c r="FI4">
        <v>79</v>
      </c>
      <c r="FJ4">
        <v>106</v>
      </c>
      <c r="FK4">
        <v>7.5</v>
      </c>
      <c r="FL4" t="s">
        <v>144</v>
      </c>
      <c r="FM4">
        <v>0</v>
      </c>
      <c r="FN4">
        <v>1.1000000000000001</v>
      </c>
      <c r="FO4">
        <v>107.8</v>
      </c>
      <c r="FP4">
        <v>27.27</v>
      </c>
      <c r="FQ4">
        <v>101</v>
      </c>
      <c r="FR4">
        <v>245</v>
      </c>
      <c r="FS4">
        <v>120</v>
      </c>
      <c r="FT4">
        <v>58</v>
      </c>
      <c r="FU4">
        <v>82</v>
      </c>
      <c r="FV4">
        <v>108</v>
      </c>
      <c r="FW4">
        <v>8.3000000000000007</v>
      </c>
      <c r="FX4">
        <v>50</v>
      </c>
      <c r="FY4">
        <v>0.7</v>
      </c>
      <c r="FZ4">
        <v>4.5</v>
      </c>
      <c r="GA4">
        <v>13</v>
      </c>
      <c r="GB4">
        <v>0</v>
      </c>
      <c r="GC4" t="s">
        <v>144</v>
      </c>
      <c r="GD4">
        <v>0</v>
      </c>
      <c r="GE4">
        <v>0.9</v>
      </c>
      <c r="GF4">
        <v>92.79</v>
      </c>
      <c r="GG4">
        <v>19</v>
      </c>
      <c r="GH4">
        <v>49</v>
      </c>
      <c r="GI4">
        <v>148</v>
      </c>
      <c r="GJ4">
        <v>119</v>
      </c>
      <c r="GK4">
        <v>56</v>
      </c>
      <c r="GL4">
        <v>79</v>
      </c>
      <c r="GM4">
        <v>105</v>
      </c>
      <c r="GN4">
        <v>8.3000000000000007</v>
      </c>
      <c r="GO4" t="s">
        <v>144</v>
      </c>
      <c r="GP4">
        <v>0</v>
      </c>
      <c r="GQ4">
        <v>1.05</v>
      </c>
      <c r="GR4">
        <v>121.11</v>
      </c>
      <c r="GS4">
        <v>24.48</v>
      </c>
      <c r="GT4">
        <v>66</v>
      </c>
      <c r="GU4">
        <v>183</v>
      </c>
      <c r="GV4">
        <v>116</v>
      </c>
      <c r="GW4">
        <v>55</v>
      </c>
      <c r="GX4">
        <v>78</v>
      </c>
      <c r="GY4">
        <v>103</v>
      </c>
      <c r="GZ4">
        <v>8.3000000000000007</v>
      </c>
      <c r="HA4" t="s">
        <v>144</v>
      </c>
      <c r="HB4">
        <v>0</v>
      </c>
      <c r="HC4">
        <v>1.1000000000000001</v>
      </c>
      <c r="HD4">
        <v>224.24</v>
      </c>
      <c r="HE4">
        <v>42.7</v>
      </c>
      <c r="HF4">
        <v>141.30000000000001</v>
      </c>
      <c r="HG4">
        <v>358</v>
      </c>
      <c r="HK4">
        <f t="shared" si="1"/>
        <v>-2.9800000000000182</v>
      </c>
      <c r="HL4" s="16">
        <f t="shared" si="2"/>
        <v>-1.7020790495773465E-2</v>
      </c>
      <c r="HM4">
        <f t="shared" si="3"/>
        <v>-15.009999999999991</v>
      </c>
      <c r="HN4" s="16">
        <f t="shared" si="4"/>
        <v>-0.13923933209647488</v>
      </c>
      <c r="HO4" s="26">
        <f t="shared" si="5"/>
        <v>-12.029999999999973</v>
      </c>
      <c r="HQ4" s="16">
        <f>HP4/FO4</f>
        <v>0</v>
      </c>
      <c r="HR4">
        <f>HD4-GF4</f>
        <v>131.44999999999999</v>
      </c>
      <c r="HS4">
        <f>EY4-ED4</f>
        <v>-0.20000000000000018</v>
      </c>
      <c r="HT4" s="28">
        <f>(HS4/ED4)*100</f>
        <v>-2.5641025641025665</v>
      </c>
      <c r="HU4">
        <f>FW4-FK4</f>
        <v>0.80000000000000071</v>
      </c>
      <c r="HV4" s="28">
        <f>(HU4/FK4)*100</f>
        <v>10.666666666666675</v>
      </c>
    </row>
    <row r="5" spans="1:230" x14ac:dyDescent="0.35">
      <c r="A5" t="s">
        <v>409</v>
      </c>
      <c r="B5" s="3">
        <v>28928</v>
      </c>
      <c r="C5">
        <v>44</v>
      </c>
      <c r="D5">
        <v>51.5</v>
      </c>
      <c r="E5">
        <v>165</v>
      </c>
      <c r="F5">
        <f t="shared" si="0"/>
        <v>1.65</v>
      </c>
      <c r="G5">
        <f>D5/(F5*F5)</f>
        <v>18.916437098255283</v>
      </c>
      <c r="H5">
        <v>0</v>
      </c>
      <c r="I5">
        <v>1</v>
      </c>
      <c r="J5" s="31">
        <v>43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144</v>
      </c>
      <c r="AK5" s="3">
        <v>45063</v>
      </c>
      <c r="AL5" t="s">
        <v>297</v>
      </c>
      <c r="AN5">
        <v>0</v>
      </c>
      <c r="AO5">
        <v>0</v>
      </c>
      <c r="AP5">
        <v>0</v>
      </c>
      <c r="AQ5">
        <v>0</v>
      </c>
      <c r="AR5">
        <v>0</v>
      </c>
      <c r="AS5">
        <v>43</v>
      </c>
      <c r="AT5">
        <v>3</v>
      </c>
      <c r="AU5">
        <v>0</v>
      </c>
      <c r="AV5">
        <v>0</v>
      </c>
      <c r="AW5">
        <v>3</v>
      </c>
      <c r="AX5">
        <v>0</v>
      </c>
      <c r="AY5">
        <v>0</v>
      </c>
      <c r="AZ5">
        <v>0</v>
      </c>
      <c r="BA5">
        <v>4.54</v>
      </c>
      <c r="BB5">
        <v>9.6</v>
      </c>
      <c r="BC5">
        <v>240</v>
      </c>
      <c r="BD5">
        <v>87</v>
      </c>
      <c r="BE5">
        <v>6.9</v>
      </c>
      <c r="BF5">
        <v>78</v>
      </c>
      <c r="BG5">
        <v>142</v>
      </c>
      <c r="BH5">
        <v>111</v>
      </c>
      <c r="BI5">
        <v>5</v>
      </c>
      <c r="BJ5" t="s">
        <v>144</v>
      </c>
      <c r="BK5" t="s">
        <v>144</v>
      </c>
      <c r="BL5" t="s">
        <v>144</v>
      </c>
      <c r="BM5">
        <v>7.36</v>
      </c>
      <c r="BN5">
        <v>90</v>
      </c>
      <c r="BO5">
        <v>42</v>
      </c>
      <c r="BP5">
        <v>24</v>
      </c>
      <c r="BQ5">
        <v>0.4</v>
      </c>
      <c r="BR5">
        <v>97</v>
      </c>
      <c r="BS5" t="s">
        <v>144</v>
      </c>
      <c r="BT5">
        <v>115</v>
      </c>
      <c r="BU5">
        <v>81</v>
      </c>
      <c r="BV5">
        <v>499</v>
      </c>
      <c r="BW5">
        <v>175</v>
      </c>
      <c r="BX5" s="3">
        <v>45065</v>
      </c>
      <c r="BY5">
        <v>48</v>
      </c>
      <c r="BZ5">
        <v>52</v>
      </c>
      <c r="CA5">
        <v>3</v>
      </c>
      <c r="CB5">
        <v>0</v>
      </c>
      <c r="CC5">
        <v>0</v>
      </c>
      <c r="CD5">
        <v>3</v>
      </c>
      <c r="CE5">
        <v>0</v>
      </c>
      <c r="CF5">
        <v>0</v>
      </c>
      <c r="CG5">
        <v>0</v>
      </c>
      <c r="CH5">
        <v>7.17</v>
      </c>
      <c r="CI5">
        <v>9.3000000000000007</v>
      </c>
      <c r="CJ5">
        <v>295</v>
      </c>
      <c r="CK5">
        <v>88</v>
      </c>
      <c r="CL5">
        <v>4.2</v>
      </c>
      <c r="CM5">
        <v>86</v>
      </c>
      <c r="CN5">
        <v>144</v>
      </c>
      <c r="CO5">
        <v>110</v>
      </c>
      <c r="CP5" t="s">
        <v>144</v>
      </c>
      <c r="CQ5" t="s">
        <v>144</v>
      </c>
      <c r="CR5" t="s">
        <v>144</v>
      </c>
      <c r="CS5" t="s">
        <v>144</v>
      </c>
      <c r="CT5" t="s">
        <v>144</v>
      </c>
      <c r="CU5" t="s">
        <v>144</v>
      </c>
      <c r="CV5" t="s">
        <v>144</v>
      </c>
      <c r="CW5" t="s">
        <v>144</v>
      </c>
      <c r="CX5" t="s">
        <v>144</v>
      </c>
      <c r="CY5">
        <v>92</v>
      </c>
      <c r="CZ5" t="s">
        <v>144</v>
      </c>
      <c r="DA5">
        <v>115</v>
      </c>
      <c r="DB5">
        <v>81</v>
      </c>
      <c r="DC5">
        <v>373</v>
      </c>
      <c r="DD5">
        <v>571</v>
      </c>
      <c r="DE5">
        <v>2</v>
      </c>
      <c r="DF5">
        <v>1</v>
      </c>
      <c r="DG5">
        <v>500</v>
      </c>
      <c r="DH5">
        <v>1000</v>
      </c>
      <c r="DI5">
        <v>1</v>
      </c>
      <c r="DJ5">
        <v>0</v>
      </c>
      <c r="DL5">
        <v>0</v>
      </c>
      <c r="DM5">
        <v>0</v>
      </c>
      <c r="DN5">
        <v>0</v>
      </c>
      <c r="DO5">
        <v>250</v>
      </c>
      <c r="DP5">
        <v>10</v>
      </c>
      <c r="DQ5">
        <v>0</v>
      </c>
      <c r="DR5">
        <v>0</v>
      </c>
      <c r="DS5">
        <v>143</v>
      </c>
      <c r="DT5">
        <v>75</v>
      </c>
      <c r="DU5">
        <v>93</v>
      </c>
      <c r="DV5">
        <v>147</v>
      </c>
      <c r="DW5">
        <v>37.5</v>
      </c>
      <c r="DX5">
        <v>0</v>
      </c>
      <c r="DY5">
        <v>1</v>
      </c>
      <c r="DZ5">
        <v>0</v>
      </c>
      <c r="EA5">
        <v>5</v>
      </c>
      <c r="EB5">
        <v>30</v>
      </c>
      <c r="EC5">
        <v>60</v>
      </c>
      <c r="ED5">
        <v>6.3</v>
      </c>
      <c r="EE5">
        <v>50</v>
      </c>
      <c r="EF5">
        <v>12</v>
      </c>
      <c r="EG5">
        <v>100</v>
      </c>
      <c r="EH5">
        <v>0</v>
      </c>
      <c r="EI5">
        <v>0</v>
      </c>
      <c r="EJ5">
        <v>1.3</v>
      </c>
      <c r="EK5">
        <v>4.9000000000000004</v>
      </c>
      <c r="EL5" t="s">
        <v>144</v>
      </c>
      <c r="EM5" t="s">
        <v>144</v>
      </c>
      <c r="EN5" t="s">
        <v>144</v>
      </c>
      <c r="EO5">
        <v>3</v>
      </c>
      <c r="EP5">
        <v>1.1000000000000001</v>
      </c>
      <c r="EQ5">
        <v>478.99</v>
      </c>
      <c r="ER5">
        <v>12.9</v>
      </c>
      <c r="ES5">
        <v>441</v>
      </c>
      <c r="ET5">
        <v>518</v>
      </c>
      <c r="EU5">
        <v>137</v>
      </c>
      <c r="EV5">
        <v>76</v>
      </c>
      <c r="EW5">
        <v>93</v>
      </c>
      <c r="EX5">
        <v>138</v>
      </c>
      <c r="EY5">
        <v>7</v>
      </c>
      <c r="EZ5" t="s">
        <v>144</v>
      </c>
      <c r="FA5">
        <v>3</v>
      </c>
      <c r="FB5">
        <v>1.27</v>
      </c>
      <c r="FC5">
        <v>411.96</v>
      </c>
      <c r="FD5">
        <v>0.8</v>
      </c>
      <c r="FE5">
        <v>241</v>
      </c>
      <c r="FF5">
        <v>496</v>
      </c>
      <c r="FG5">
        <v>130</v>
      </c>
      <c r="FH5">
        <v>77</v>
      </c>
      <c r="FI5">
        <v>91</v>
      </c>
      <c r="FJ5">
        <v>142</v>
      </c>
      <c r="FK5">
        <v>5.8</v>
      </c>
      <c r="FL5" t="s">
        <v>144</v>
      </c>
      <c r="FM5">
        <v>3</v>
      </c>
      <c r="FN5">
        <v>0.8</v>
      </c>
      <c r="FO5">
        <v>431.6</v>
      </c>
      <c r="FP5">
        <v>24.3</v>
      </c>
      <c r="FQ5">
        <v>347</v>
      </c>
      <c r="FR5">
        <v>486</v>
      </c>
      <c r="FS5">
        <v>141</v>
      </c>
      <c r="FT5">
        <v>76</v>
      </c>
      <c r="FU5">
        <v>94</v>
      </c>
      <c r="FV5">
        <v>138</v>
      </c>
      <c r="FW5">
        <v>7.2</v>
      </c>
      <c r="FX5">
        <v>50</v>
      </c>
      <c r="FY5">
        <v>1.7</v>
      </c>
      <c r="FZ5">
        <v>7</v>
      </c>
      <c r="GA5">
        <v>15</v>
      </c>
      <c r="GB5">
        <v>100</v>
      </c>
      <c r="GC5" t="s">
        <v>144</v>
      </c>
      <c r="GD5">
        <v>3</v>
      </c>
      <c r="GE5">
        <v>1.4</v>
      </c>
      <c r="GF5">
        <v>356.7</v>
      </c>
      <c r="GG5">
        <v>22</v>
      </c>
      <c r="GH5">
        <v>287</v>
      </c>
      <c r="GI5">
        <v>431</v>
      </c>
      <c r="GJ5">
        <v>131</v>
      </c>
      <c r="GK5">
        <v>74</v>
      </c>
      <c r="GL5">
        <v>90</v>
      </c>
      <c r="GM5">
        <v>138</v>
      </c>
      <c r="GN5">
        <v>6.3</v>
      </c>
      <c r="GO5" t="s">
        <v>144</v>
      </c>
      <c r="GP5">
        <v>2</v>
      </c>
      <c r="GQ5">
        <v>0.6</v>
      </c>
      <c r="GR5">
        <v>459.9</v>
      </c>
      <c r="GS5">
        <v>18</v>
      </c>
      <c r="GT5">
        <v>397</v>
      </c>
      <c r="GU5">
        <v>525</v>
      </c>
      <c r="GV5">
        <v>125</v>
      </c>
      <c r="GW5">
        <v>76</v>
      </c>
      <c r="GX5">
        <v>89</v>
      </c>
      <c r="GY5">
        <v>134</v>
      </c>
      <c r="GZ5">
        <v>7</v>
      </c>
      <c r="HA5" t="s">
        <v>144</v>
      </c>
      <c r="HB5">
        <v>2</v>
      </c>
      <c r="HC5">
        <v>0.7</v>
      </c>
      <c r="HD5">
        <v>469.22</v>
      </c>
      <c r="HE5">
        <v>14.9</v>
      </c>
      <c r="HF5">
        <v>417</v>
      </c>
      <c r="HG5">
        <v>507</v>
      </c>
      <c r="HH5">
        <v>0</v>
      </c>
      <c r="HI5">
        <v>0</v>
      </c>
      <c r="HK5">
        <f t="shared" si="1"/>
        <v>-67.03000000000003</v>
      </c>
      <c r="HL5" s="16">
        <f t="shared" si="2"/>
        <v>-0.13994029102904032</v>
      </c>
      <c r="HM5">
        <f t="shared" si="3"/>
        <v>-74.900000000000034</v>
      </c>
      <c r="HN5" s="16">
        <f t="shared" si="4"/>
        <v>-0.17354031510658025</v>
      </c>
      <c r="HO5" s="26">
        <f t="shared" si="5"/>
        <v>-7.8700000000000045</v>
      </c>
      <c r="HP5">
        <f>HD5-FO5</f>
        <v>37.620000000000005</v>
      </c>
      <c r="HQ5" s="16">
        <f>HP5/FO5</f>
        <v>8.7164040778498611E-2</v>
      </c>
      <c r="HR5">
        <f>HD5-GF5</f>
        <v>112.52000000000004</v>
      </c>
      <c r="HS5">
        <f>EY5-ED5</f>
        <v>0.70000000000000018</v>
      </c>
      <c r="HT5" s="28">
        <f>(HS5/ED5)*100</f>
        <v>11.111111111111114</v>
      </c>
      <c r="HU5">
        <f>FW5-FK5</f>
        <v>1.4000000000000004</v>
      </c>
      <c r="HV5" s="29">
        <f>(HU5/FK5)*100</f>
        <v>24.137931034482765</v>
      </c>
    </row>
    <row r="6" spans="1:230" x14ac:dyDescent="0.35">
      <c r="A6" t="s">
        <v>410</v>
      </c>
      <c r="B6" s="3">
        <v>16483</v>
      </c>
      <c r="C6">
        <v>78</v>
      </c>
      <c r="E6">
        <v>173</v>
      </c>
      <c r="F6">
        <f t="shared" si="0"/>
        <v>1.73</v>
      </c>
      <c r="H6">
        <v>0</v>
      </c>
      <c r="I6">
        <v>1</v>
      </c>
      <c r="J6" s="31">
        <v>81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K6" s="3">
        <v>45214</v>
      </c>
      <c r="AL6" t="s">
        <v>383</v>
      </c>
      <c r="AN6">
        <v>1</v>
      </c>
      <c r="AO6">
        <v>1</v>
      </c>
      <c r="AP6">
        <v>0</v>
      </c>
      <c r="AQ6">
        <v>0</v>
      </c>
      <c r="AR6">
        <v>0</v>
      </c>
      <c r="AT6">
        <v>12</v>
      </c>
      <c r="AU6">
        <v>1</v>
      </c>
      <c r="AV6">
        <v>0</v>
      </c>
      <c r="AW6">
        <v>0</v>
      </c>
      <c r="AX6">
        <v>4</v>
      </c>
      <c r="AY6">
        <v>4</v>
      </c>
      <c r="AZ6">
        <v>3</v>
      </c>
      <c r="BA6">
        <v>16.7</v>
      </c>
      <c r="BB6">
        <v>9</v>
      </c>
      <c r="BC6">
        <v>27</v>
      </c>
      <c r="BD6">
        <v>54</v>
      </c>
      <c r="BE6">
        <v>33</v>
      </c>
      <c r="BF6">
        <v>591</v>
      </c>
      <c r="BG6">
        <v>132</v>
      </c>
      <c r="BH6">
        <v>100</v>
      </c>
      <c r="BI6">
        <v>420</v>
      </c>
      <c r="BM6">
        <v>7.33</v>
      </c>
      <c r="BN6">
        <v>119</v>
      </c>
      <c r="BO6">
        <v>40</v>
      </c>
      <c r="BP6">
        <v>21</v>
      </c>
      <c r="BQ6">
        <v>1.4</v>
      </c>
      <c r="BR6">
        <v>65</v>
      </c>
      <c r="BS6">
        <v>167</v>
      </c>
      <c r="BT6">
        <v>410</v>
      </c>
      <c r="BU6">
        <v>227</v>
      </c>
      <c r="BX6" s="3">
        <v>45216</v>
      </c>
      <c r="BY6">
        <v>13</v>
      </c>
      <c r="CA6">
        <v>11</v>
      </c>
      <c r="CB6">
        <v>0</v>
      </c>
      <c r="CC6">
        <v>0</v>
      </c>
      <c r="CD6">
        <v>0</v>
      </c>
      <c r="CE6">
        <v>4</v>
      </c>
      <c r="CF6">
        <v>4</v>
      </c>
      <c r="CG6">
        <v>3</v>
      </c>
      <c r="CH6">
        <v>14.3</v>
      </c>
      <c r="CI6">
        <v>7.9</v>
      </c>
      <c r="CJ6">
        <v>43</v>
      </c>
      <c r="CK6">
        <v>137</v>
      </c>
      <c r="CL6">
        <v>33</v>
      </c>
      <c r="CM6">
        <v>591</v>
      </c>
      <c r="CN6">
        <v>137</v>
      </c>
      <c r="CO6">
        <v>103</v>
      </c>
      <c r="CP6">
        <v>452</v>
      </c>
      <c r="CY6">
        <v>56</v>
      </c>
      <c r="CZ6">
        <v>127</v>
      </c>
      <c r="DA6">
        <v>189</v>
      </c>
      <c r="DB6">
        <v>144</v>
      </c>
      <c r="DC6">
        <v>857</v>
      </c>
      <c r="DD6">
        <v>104</v>
      </c>
      <c r="DE6">
        <v>2</v>
      </c>
      <c r="DF6">
        <v>2</v>
      </c>
      <c r="DG6">
        <v>100</v>
      </c>
      <c r="DH6">
        <v>500</v>
      </c>
      <c r="DI6">
        <v>1</v>
      </c>
      <c r="DJ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127</v>
      </c>
      <c r="DT6">
        <v>75</v>
      </c>
      <c r="DU6">
        <v>90</v>
      </c>
      <c r="DV6">
        <v>78</v>
      </c>
      <c r="DW6">
        <v>37.1</v>
      </c>
      <c r="DX6">
        <v>1</v>
      </c>
      <c r="DY6">
        <v>0</v>
      </c>
      <c r="DZ6">
        <v>0</v>
      </c>
      <c r="EA6">
        <v>0</v>
      </c>
      <c r="EB6">
        <v>0</v>
      </c>
      <c r="EC6">
        <v>2</v>
      </c>
      <c r="ED6">
        <v>3</v>
      </c>
      <c r="EP6">
        <v>2.5</v>
      </c>
      <c r="EQ6">
        <v>86.68</v>
      </c>
      <c r="EU6">
        <v>127</v>
      </c>
      <c r="EV6">
        <v>85</v>
      </c>
      <c r="EW6">
        <v>96</v>
      </c>
      <c r="EX6">
        <v>76</v>
      </c>
      <c r="FB6">
        <v>2.8</v>
      </c>
      <c r="FC6">
        <v>73.22</v>
      </c>
      <c r="FG6">
        <v>135</v>
      </c>
      <c r="FH6">
        <v>91</v>
      </c>
      <c r="FI6">
        <v>94</v>
      </c>
      <c r="FJ6">
        <v>76</v>
      </c>
      <c r="FN6">
        <v>2.1</v>
      </c>
      <c r="FO6">
        <v>105.49</v>
      </c>
      <c r="FS6">
        <v>147</v>
      </c>
      <c r="FT6">
        <v>79</v>
      </c>
      <c r="FU6">
        <v>97</v>
      </c>
      <c r="FV6">
        <v>72</v>
      </c>
      <c r="GE6">
        <v>1.8</v>
      </c>
      <c r="GF6">
        <v>77.89</v>
      </c>
      <c r="HK6">
        <f t="shared" si="1"/>
        <v>-13.460000000000008</v>
      </c>
      <c r="HL6" s="16">
        <f t="shared" si="2"/>
        <v>-0.15528380249192439</v>
      </c>
      <c r="HM6">
        <f t="shared" si="3"/>
        <v>-27.599999999999994</v>
      </c>
      <c r="HN6" s="16">
        <f t="shared" si="4"/>
        <v>-0.26163617404493311</v>
      </c>
      <c r="HO6" s="26">
        <f t="shared" si="5"/>
        <v>-14.139999999999986</v>
      </c>
      <c r="HT6" s="28"/>
      <c r="HV6" s="28"/>
    </row>
    <row r="7" spans="1:230" x14ac:dyDescent="0.35">
      <c r="A7" t="s">
        <v>411</v>
      </c>
      <c r="B7" s="3">
        <v>17227</v>
      </c>
      <c r="C7">
        <v>76</v>
      </c>
      <c r="D7">
        <v>64</v>
      </c>
      <c r="E7">
        <v>159</v>
      </c>
      <c r="F7">
        <f t="shared" si="0"/>
        <v>1.59</v>
      </c>
      <c r="G7">
        <f t="shared" ref="G7:G12" si="6">D7/(F7*F7)</f>
        <v>25.315454293738377</v>
      </c>
      <c r="H7">
        <v>1</v>
      </c>
      <c r="I7">
        <v>0</v>
      </c>
      <c r="J7" s="31">
        <v>44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1</v>
      </c>
      <c r="AA7">
        <v>1</v>
      </c>
      <c r="AB7">
        <v>1</v>
      </c>
      <c r="AC7">
        <v>0</v>
      </c>
      <c r="AD7">
        <v>0</v>
      </c>
      <c r="AE7">
        <v>0</v>
      </c>
      <c r="AF7" t="s">
        <v>144</v>
      </c>
      <c r="AK7" s="3">
        <v>45147</v>
      </c>
      <c r="AL7" t="s">
        <v>285</v>
      </c>
      <c r="AN7">
        <v>1</v>
      </c>
      <c r="AO7">
        <v>1</v>
      </c>
      <c r="AP7">
        <v>0</v>
      </c>
      <c r="AQ7">
        <v>0</v>
      </c>
      <c r="AR7">
        <v>0</v>
      </c>
      <c r="AS7">
        <v>44</v>
      </c>
      <c r="AT7">
        <v>4</v>
      </c>
      <c r="AU7">
        <v>0</v>
      </c>
      <c r="AV7">
        <v>3</v>
      </c>
      <c r="AW7">
        <v>0</v>
      </c>
      <c r="AX7">
        <v>0</v>
      </c>
      <c r="AY7">
        <v>0</v>
      </c>
      <c r="AZ7">
        <v>1</v>
      </c>
      <c r="BA7">
        <v>269</v>
      </c>
      <c r="BB7">
        <v>9</v>
      </c>
      <c r="BC7">
        <v>144</v>
      </c>
      <c r="BD7">
        <v>62</v>
      </c>
      <c r="BE7">
        <v>4.9000000000000004</v>
      </c>
      <c r="BF7">
        <v>42</v>
      </c>
      <c r="BG7">
        <v>133</v>
      </c>
      <c r="BH7">
        <v>103</v>
      </c>
      <c r="BI7">
        <v>15</v>
      </c>
      <c r="BJ7">
        <v>197</v>
      </c>
      <c r="BK7" t="s">
        <v>144</v>
      </c>
      <c r="BL7" t="s">
        <v>144</v>
      </c>
      <c r="BM7">
        <v>7.52</v>
      </c>
      <c r="BN7">
        <v>75</v>
      </c>
      <c r="BO7">
        <v>27</v>
      </c>
      <c r="BP7">
        <v>22</v>
      </c>
      <c r="BQ7">
        <v>4</v>
      </c>
      <c r="BR7">
        <v>60</v>
      </c>
      <c r="BS7" t="s">
        <v>144</v>
      </c>
      <c r="BT7">
        <v>108</v>
      </c>
      <c r="BU7">
        <v>46</v>
      </c>
      <c r="BV7">
        <v>6939</v>
      </c>
      <c r="BW7" t="s">
        <v>144</v>
      </c>
      <c r="BX7" s="3">
        <v>45061</v>
      </c>
      <c r="BZ7">
        <v>64</v>
      </c>
      <c r="CA7">
        <v>6</v>
      </c>
      <c r="CB7">
        <v>4</v>
      </c>
      <c r="CC7">
        <v>0</v>
      </c>
      <c r="CD7">
        <v>0</v>
      </c>
      <c r="CE7">
        <v>0</v>
      </c>
      <c r="CF7">
        <v>0</v>
      </c>
      <c r="CG7">
        <v>2</v>
      </c>
      <c r="CH7">
        <v>0.42</v>
      </c>
      <c r="CI7">
        <v>6.9</v>
      </c>
      <c r="CJ7">
        <v>55</v>
      </c>
      <c r="CK7">
        <v>49</v>
      </c>
      <c r="CL7">
        <v>6.6</v>
      </c>
      <c r="CM7">
        <v>70</v>
      </c>
      <c r="CN7">
        <v>137</v>
      </c>
      <c r="CO7">
        <v>109</v>
      </c>
      <c r="CP7">
        <v>16</v>
      </c>
      <c r="CQ7" t="s">
        <v>144</v>
      </c>
      <c r="CR7" t="s">
        <v>144</v>
      </c>
      <c r="CS7" t="s">
        <v>144</v>
      </c>
      <c r="CT7">
        <v>7.44</v>
      </c>
      <c r="CU7">
        <v>107</v>
      </c>
      <c r="CV7">
        <v>24</v>
      </c>
      <c r="CW7">
        <v>16.399999999999999</v>
      </c>
      <c r="CX7">
        <v>1.2</v>
      </c>
      <c r="CY7" t="s">
        <v>144</v>
      </c>
      <c r="CZ7" t="s">
        <v>144</v>
      </c>
      <c r="DA7" t="s">
        <v>144</v>
      </c>
      <c r="DB7" t="s">
        <v>144</v>
      </c>
      <c r="DC7">
        <v>2369</v>
      </c>
      <c r="DD7" t="s">
        <v>144</v>
      </c>
      <c r="DE7">
        <v>1</v>
      </c>
      <c r="DF7">
        <v>1</v>
      </c>
      <c r="DG7">
        <v>500</v>
      </c>
      <c r="DH7">
        <v>1500</v>
      </c>
      <c r="DI7">
        <v>1</v>
      </c>
      <c r="DJ7">
        <v>0</v>
      </c>
      <c r="DK7">
        <v>0.8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126</v>
      </c>
      <c r="DT7">
        <v>47</v>
      </c>
      <c r="DU7">
        <v>67</v>
      </c>
      <c r="DV7">
        <v>121</v>
      </c>
      <c r="DW7">
        <v>38</v>
      </c>
      <c r="DX7">
        <v>1</v>
      </c>
      <c r="DY7">
        <v>0</v>
      </c>
      <c r="DZ7">
        <v>0</v>
      </c>
      <c r="EA7">
        <v>0</v>
      </c>
      <c r="EC7">
        <v>3</v>
      </c>
      <c r="ED7">
        <v>6.1</v>
      </c>
      <c r="EE7">
        <v>50</v>
      </c>
      <c r="EF7">
        <v>12</v>
      </c>
      <c r="EG7">
        <v>100</v>
      </c>
      <c r="EH7">
        <v>0</v>
      </c>
      <c r="EI7">
        <v>0</v>
      </c>
      <c r="EJ7">
        <v>0.6</v>
      </c>
      <c r="EK7">
        <v>6.3</v>
      </c>
      <c r="EL7">
        <v>15</v>
      </c>
      <c r="EM7" t="s">
        <v>144</v>
      </c>
      <c r="EN7">
        <v>6</v>
      </c>
      <c r="EO7">
        <v>1</v>
      </c>
      <c r="EP7">
        <v>2.44</v>
      </c>
      <c r="EQ7">
        <v>23.25</v>
      </c>
      <c r="ER7">
        <v>3.9</v>
      </c>
      <c r="ES7">
        <v>14.86</v>
      </c>
      <c r="ET7">
        <v>35.74</v>
      </c>
      <c r="EU7">
        <v>130</v>
      </c>
      <c r="EV7">
        <v>45</v>
      </c>
      <c r="EW7">
        <v>68</v>
      </c>
      <c r="EX7">
        <v>115</v>
      </c>
      <c r="EY7">
        <v>7</v>
      </c>
      <c r="EZ7">
        <v>10</v>
      </c>
      <c r="FA7">
        <v>1</v>
      </c>
      <c r="FB7">
        <v>2.62</v>
      </c>
      <c r="FC7">
        <v>17.03</v>
      </c>
      <c r="FD7">
        <v>3.5</v>
      </c>
      <c r="FE7">
        <v>11.57</v>
      </c>
      <c r="FF7">
        <v>27.4</v>
      </c>
      <c r="FG7">
        <v>122</v>
      </c>
      <c r="FH7">
        <v>41</v>
      </c>
      <c r="FI7">
        <v>62</v>
      </c>
      <c r="FJ7">
        <v>118</v>
      </c>
      <c r="FK7">
        <v>6.3</v>
      </c>
      <c r="FL7">
        <v>12</v>
      </c>
      <c r="FM7">
        <v>1</v>
      </c>
      <c r="FN7">
        <v>2.59</v>
      </c>
      <c r="FO7">
        <v>19.600000000000001</v>
      </c>
      <c r="FS7">
        <v>127</v>
      </c>
      <c r="FT7">
        <v>43</v>
      </c>
      <c r="FU7">
        <v>66</v>
      </c>
      <c r="FV7">
        <v>116</v>
      </c>
      <c r="FW7">
        <v>7</v>
      </c>
      <c r="FX7">
        <v>50</v>
      </c>
      <c r="FY7">
        <v>0.8</v>
      </c>
      <c r="FZ7">
        <v>5.9</v>
      </c>
      <c r="GA7">
        <v>10</v>
      </c>
      <c r="GB7">
        <v>100</v>
      </c>
      <c r="GC7">
        <v>10</v>
      </c>
      <c r="GD7">
        <v>1</v>
      </c>
      <c r="GE7">
        <v>2.5499999999999998</v>
      </c>
      <c r="GF7">
        <v>19.309999999999999</v>
      </c>
      <c r="GJ7">
        <v>124</v>
      </c>
      <c r="GK7">
        <v>46</v>
      </c>
      <c r="GL7">
        <v>68</v>
      </c>
      <c r="GM7">
        <v>114</v>
      </c>
      <c r="GN7">
        <v>7</v>
      </c>
      <c r="GO7">
        <v>10</v>
      </c>
      <c r="GP7">
        <v>1</v>
      </c>
      <c r="GQ7">
        <v>2.02</v>
      </c>
      <c r="GR7">
        <v>22.56</v>
      </c>
      <c r="GV7">
        <v>123</v>
      </c>
      <c r="GW7">
        <v>47</v>
      </c>
      <c r="GX7">
        <v>69</v>
      </c>
      <c r="GY7">
        <v>115</v>
      </c>
      <c r="GZ7">
        <v>6.1</v>
      </c>
      <c r="HA7">
        <v>18</v>
      </c>
      <c r="HB7">
        <v>1</v>
      </c>
      <c r="HC7">
        <v>2.77</v>
      </c>
      <c r="HD7">
        <v>18.010000000000002</v>
      </c>
      <c r="HH7">
        <v>0</v>
      </c>
      <c r="HI7">
        <v>1</v>
      </c>
      <c r="HJ7" s="3">
        <v>45065</v>
      </c>
      <c r="HK7">
        <f t="shared" si="1"/>
        <v>-6.2199999999999989</v>
      </c>
      <c r="HL7" s="16">
        <f t="shared" si="2"/>
        <v>-0.26752688172043004</v>
      </c>
      <c r="HM7">
        <f t="shared" si="3"/>
        <v>-0.2900000000000027</v>
      </c>
      <c r="HN7" s="16">
        <f t="shared" si="4"/>
        <v>-1.4795918367347076E-2</v>
      </c>
      <c r="HO7" s="26">
        <f t="shared" si="5"/>
        <v>5.9299999999999962</v>
      </c>
      <c r="HP7">
        <f>HD7-FO7</f>
        <v>-1.5899999999999999</v>
      </c>
      <c r="HQ7" s="16">
        <f>HP7/FO7</f>
        <v>-8.1122448979591824E-2</v>
      </c>
      <c r="HR7">
        <f>HD7-GF7</f>
        <v>-1.2999999999999972</v>
      </c>
      <c r="HS7">
        <f>EY7-ED7</f>
        <v>0.90000000000000036</v>
      </c>
      <c r="HT7" s="28">
        <f>(HS7/ED7)*100</f>
        <v>14.754098360655746</v>
      </c>
      <c r="HU7">
        <f>FW7-FK7</f>
        <v>0.70000000000000018</v>
      </c>
      <c r="HV7" s="28">
        <f>(HU7/FK7)*100</f>
        <v>11.111111111111114</v>
      </c>
    </row>
    <row r="8" spans="1:230" x14ac:dyDescent="0.35">
      <c r="A8" t="s">
        <v>412</v>
      </c>
      <c r="B8" s="3">
        <v>17542</v>
      </c>
      <c r="C8">
        <v>75</v>
      </c>
      <c r="D8">
        <v>58</v>
      </c>
      <c r="E8">
        <v>165</v>
      </c>
      <c r="F8">
        <f t="shared" si="0"/>
        <v>1.65</v>
      </c>
      <c r="G8">
        <f t="shared" si="6"/>
        <v>21.30394857667585</v>
      </c>
      <c r="H8">
        <v>1</v>
      </c>
      <c r="I8">
        <v>0</v>
      </c>
      <c r="J8" s="31">
        <v>38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B8">
        <v>0</v>
      </c>
      <c r="AC8">
        <v>0</v>
      </c>
      <c r="AD8">
        <v>0</v>
      </c>
      <c r="AE8">
        <v>0</v>
      </c>
      <c r="AK8" s="3">
        <v>45144</v>
      </c>
      <c r="AL8" t="s">
        <v>328</v>
      </c>
      <c r="AN8">
        <v>1</v>
      </c>
      <c r="AO8">
        <v>0</v>
      </c>
      <c r="AP8">
        <v>0</v>
      </c>
      <c r="AQ8">
        <v>0</v>
      </c>
      <c r="AR8">
        <v>0</v>
      </c>
      <c r="AS8">
        <v>38</v>
      </c>
      <c r="AT8">
        <v>7</v>
      </c>
      <c r="AU8">
        <v>1</v>
      </c>
      <c r="AV8">
        <v>2</v>
      </c>
      <c r="AW8">
        <v>3</v>
      </c>
      <c r="AX8">
        <v>0</v>
      </c>
      <c r="AY8">
        <v>1</v>
      </c>
      <c r="AZ8">
        <v>0</v>
      </c>
      <c r="BA8">
        <v>8.1</v>
      </c>
      <c r="BB8">
        <v>14.2</v>
      </c>
      <c r="BC8">
        <v>181</v>
      </c>
      <c r="BD8">
        <v>65</v>
      </c>
      <c r="BE8">
        <v>2.6</v>
      </c>
      <c r="BF8">
        <v>39</v>
      </c>
      <c r="BG8">
        <v>135</v>
      </c>
      <c r="BH8">
        <v>105</v>
      </c>
      <c r="BI8">
        <v>22</v>
      </c>
      <c r="BJ8">
        <v>111</v>
      </c>
      <c r="BK8">
        <v>0.02</v>
      </c>
      <c r="BL8" t="s">
        <v>144</v>
      </c>
      <c r="BM8">
        <v>7.46</v>
      </c>
      <c r="BN8">
        <v>93</v>
      </c>
      <c r="BO8">
        <v>33</v>
      </c>
      <c r="BP8">
        <v>24</v>
      </c>
      <c r="BQ8">
        <v>0.9</v>
      </c>
      <c r="BR8">
        <v>100</v>
      </c>
      <c r="BS8" t="s">
        <v>144</v>
      </c>
      <c r="BT8">
        <v>28</v>
      </c>
      <c r="BU8">
        <v>23</v>
      </c>
      <c r="BV8">
        <v>392</v>
      </c>
      <c r="BW8">
        <v>168</v>
      </c>
      <c r="BX8" s="3">
        <v>45145</v>
      </c>
      <c r="BY8">
        <v>18</v>
      </c>
      <c r="BZ8">
        <v>58</v>
      </c>
      <c r="CA8">
        <v>8</v>
      </c>
      <c r="CB8">
        <v>1</v>
      </c>
      <c r="CC8">
        <v>2</v>
      </c>
      <c r="CD8">
        <v>3</v>
      </c>
      <c r="CE8">
        <v>0</v>
      </c>
      <c r="CF8">
        <v>2</v>
      </c>
      <c r="CG8">
        <v>0</v>
      </c>
      <c r="CH8">
        <v>10.6</v>
      </c>
      <c r="CI8">
        <v>13.3</v>
      </c>
      <c r="CJ8">
        <v>162</v>
      </c>
      <c r="CK8">
        <v>53</v>
      </c>
      <c r="CL8">
        <v>2.7</v>
      </c>
      <c r="CM8">
        <v>36</v>
      </c>
      <c r="CN8">
        <v>135</v>
      </c>
      <c r="CO8">
        <v>105</v>
      </c>
      <c r="CP8">
        <v>40</v>
      </c>
      <c r="CR8">
        <v>0.3</v>
      </c>
      <c r="CT8">
        <v>7.4</v>
      </c>
      <c r="CU8">
        <v>93</v>
      </c>
      <c r="CV8">
        <v>33</v>
      </c>
      <c r="CW8">
        <v>24</v>
      </c>
      <c r="CX8">
        <v>0.9</v>
      </c>
      <c r="DA8">
        <v>25</v>
      </c>
      <c r="DB8">
        <v>19</v>
      </c>
      <c r="DC8">
        <v>378</v>
      </c>
      <c r="DD8">
        <v>145</v>
      </c>
      <c r="DE8">
        <v>2</v>
      </c>
      <c r="DF8">
        <v>1</v>
      </c>
      <c r="DG8">
        <v>500</v>
      </c>
      <c r="DH8">
        <v>2000</v>
      </c>
      <c r="DI8">
        <v>1</v>
      </c>
      <c r="DJ8">
        <v>0</v>
      </c>
      <c r="DL8">
        <v>0</v>
      </c>
      <c r="DM8">
        <v>0</v>
      </c>
      <c r="DN8">
        <v>0</v>
      </c>
      <c r="DO8">
        <v>30</v>
      </c>
      <c r="DP8">
        <v>0</v>
      </c>
      <c r="DQ8">
        <v>0</v>
      </c>
      <c r="DR8">
        <v>0</v>
      </c>
      <c r="DS8">
        <v>119</v>
      </c>
      <c r="DT8">
        <v>54</v>
      </c>
      <c r="DU8">
        <v>70</v>
      </c>
      <c r="DV8">
        <v>54</v>
      </c>
      <c r="DW8">
        <v>36.799999999999997</v>
      </c>
      <c r="DX8">
        <v>0</v>
      </c>
      <c r="DY8">
        <v>0</v>
      </c>
      <c r="DZ8">
        <v>1</v>
      </c>
      <c r="EA8">
        <v>8</v>
      </c>
      <c r="EB8">
        <v>30</v>
      </c>
      <c r="EC8">
        <v>60</v>
      </c>
      <c r="ED8">
        <v>3</v>
      </c>
      <c r="EO8">
        <v>3</v>
      </c>
      <c r="EP8">
        <v>5.5</v>
      </c>
      <c r="EQ8">
        <v>16.670000000000002</v>
      </c>
      <c r="ER8">
        <v>15.7</v>
      </c>
      <c r="ES8">
        <v>7.2</v>
      </c>
      <c r="ET8">
        <v>121.1</v>
      </c>
      <c r="EU8">
        <v>138</v>
      </c>
      <c r="EV8">
        <v>72</v>
      </c>
      <c r="EW8">
        <v>91</v>
      </c>
      <c r="EX8">
        <v>72</v>
      </c>
      <c r="FA8">
        <v>3</v>
      </c>
      <c r="FB8">
        <v>5.3</v>
      </c>
      <c r="FC8">
        <v>10.83</v>
      </c>
      <c r="FG8">
        <v>148</v>
      </c>
      <c r="FH8">
        <v>66</v>
      </c>
      <c r="FI8">
        <v>90</v>
      </c>
      <c r="FJ8">
        <v>69</v>
      </c>
      <c r="FM8">
        <v>3</v>
      </c>
      <c r="FN8">
        <v>6.1</v>
      </c>
      <c r="FO8">
        <v>11.27</v>
      </c>
      <c r="FS8">
        <v>149</v>
      </c>
      <c r="FT8">
        <v>61</v>
      </c>
      <c r="FU8">
        <v>82</v>
      </c>
      <c r="FV8">
        <v>70</v>
      </c>
      <c r="GD8">
        <v>3</v>
      </c>
      <c r="GE8">
        <v>5.8</v>
      </c>
      <c r="GF8">
        <v>9.85</v>
      </c>
      <c r="GJ8">
        <v>139</v>
      </c>
      <c r="GK8">
        <v>86</v>
      </c>
      <c r="GL8">
        <v>102</v>
      </c>
      <c r="GM8">
        <v>70</v>
      </c>
      <c r="GP8">
        <v>3</v>
      </c>
      <c r="GQ8">
        <v>5.0999999999999996</v>
      </c>
      <c r="GR8">
        <v>8.75</v>
      </c>
      <c r="GV8">
        <v>135</v>
      </c>
      <c r="GW8">
        <v>57</v>
      </c>
      <c r="GX8">
        <v>80</v>
      </c>
      <c r="GY8">
        <v>61</v>
      </c>
      <c r="HB8">
        <v>3</v>
      </c>
      <c r="HC8">
        <v>5.4</v>
      </c>
      <c r="HD8">
        <v>9.39</v>
      </c>
      <c r="HK8">
        <f t="shared" si="1"/>
        <v>-5.8400000000000016</v>
      </c>
      <c r="HL8" s="16">
        <f t="shared" si="2"/>
        <v>-0.3503299340131974</v>
      </c>
      <c r="HM8">
        <f t="shared" si="3"/>
        <v>-1.42</v>
      </c>
      <c r="HN8" s="16">
        <f t="shared" si="4"/>
        <v>-0.12599822537710736</v>
      </c>
      <c r="HO8" s="26">
        <f t="shared" si="5"/>
        <v>4.4200000000000017</v>
      </c>
      <c r="HP8">
        <f>HD8-FO8</f>
        <v>-1.879999999999999</v>
      </c>
      <c r="HQ8" s="16">
        <f>HP8/FO8</f>
        <v>-0.16681455190771952</v>
      </c>
      <c r="HR8">
        <f>HD8-GF8</f>
        <v>-0.45999999999999908</v>
      </c>
      <c r="HT8" s="28"/>
      <c r="HV8" s="28"/>
    </row>
    <row r="9" spans="1:230" x14ac:dyDescent="0.35">
      <c r="A9" t="s">
        <v>413</v>
      </c>
      <c r="B9" s="3">
        <v>17542</v>
      </c>
      <c r="C9">
        <v>75</v>
      </c>
      <c r="D9">
        <v>58</v>
      </c>
      <c r="E9">
        <v>165</v>
      </c>
      <c r="F9">
        <f t="shared" si="0"/>
        <v>1.65</v>
      </c>
      <c r="G9">
        <f t="shared" si="6"/>
        <v>21.30394857667585</v>
      </c>
      <c r="H9">
        <v>1</v>
      </c>
      <c r="I9">
        <v>0</v>
      </c>
      <c r="J9" s="31">
        <v>38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B9">
        <v>0</v>
      </c>
      <c r="AC9">
        <v>0</v>
      </c>
      <c r="AD9">
        <v>0</v>
      </c>
      <c r="AE9">
        <v>0</v>
      </c>
      <c r="AK9" s="3">
        <v>45144</v>
      </c>
      <c r="AL9" t="s">
        <v>328</v>
      </c>
      <c r="AN9">
        <v>1</v>
      </c>
      <c r="AO9">
        <v>0</v>
      </c>
      <c r="AP9">
        <v>0</v>
      </c>
      <c r="AQ9">
        <v>0</v>
      </c>
      <c r="AR9">
        <v>0</v>
      </c>
      <c r="AS9">
        <v>38</v>
      </c>
      <c r="AT9">
        <v>7</v>
      </c>
      <c r="AU9">
        <v>1</v>
      </c>
      <c r="AV9">
        <v>2</v>
      </c>
      <c r="AW9">
        <v>3</v>
      </c>
      <c r="AX9">
        <v>0</v>
      </c>
      <c r="AY9">
        <v>1</v>
      </c>
      <c r="AZ9">
        <v>0</v>
      </c>
      <c r="BA9">
        <v>8.1</v>
      </c>
      <c r="BB9">
        <v>14.2</v>
      </c>
      <c r="BC9">
        <v>181</v>
      </c>
      <c r="BD9">
        <v>65</v>
      </c>
      <c r="BE9">
        <v>2.6</v>
      </c>
      <c r="BF9">
        <v>39</v>
      </c>
      <c r="BG9">
        <v>135</v>
      </c>
      <c r="BH9">
        <v>105</v>
      </c>
      <c r="BI9">
        <v>22</v>
      </c>
      <c r="BJ9">
        <v>111</v>
      </c>
      <c r="BK9">
        <v>0.02</v>
      </c>
      <c r="BL9" t="s">
        <v>144</v>
      </c>
      <c r="BM9">
        <v>7.46</v>
      </c>
      <c r="BN9">
        <v>93</v>
      </c>
      <c r="BO9">
        <v>33</v>
      </c>
      <c r="BP9">
        <v>24</v>
      </c>
      <c r="BQ9">
        <v>0.9</v>
      </c>
      <c r="BR9">
        <v>100</v>
      </c>
      <c r="BS9" t="s">
        <v>144</v>
      </c>
      <c r="BT9">
        <v>28</v>
      </c>
      <c r="BU9">
        <v>23</v>
      </c>
      <c r="BV9">
        <v>392</v>
      </c>
      <c r="BW9">
        <v>168</v>
      </c>
      <c r="BX9" s="3">
        <v>45145</v>
      </c>
      <c r="BY9">
        <v>18</v>
      </c>
      <c r="BZ9">
        <v>58</v>
      </c>
      <c r="CA9">
        <v>8</v>
      </c>
      <c r="CB9">
        <v>1</v>
      </c>
      <c r="CC9">
        <v>2</v>
      </c>
      <c r="CD9">
        <v>3</v>
      </c>
      <c r="CE9">
        <v>0</v>
      </c>
      <c r="CF9">
        <v>2</v>
      </c>
      <c r="CG9">
        <v>0</v>
      </c>
      <c r="CH9">
        <v>10.6</v>
      </c>
      <c r="CI9">
        <v>13.3</v>
      </c>
      <c r="CJ9">
        <v>162</v>
      </c>
      <c r="CK9">
        <v>53</v>
      </c>
      <c r="CL9">
        <v>2.7</v>
      </c>
      <c r="CM9">
        <v>36</v>
      </c>
      <c r="CN9">
        <v>135</v>
      </c>
      <c r="CO9">
        <v>105</v>
      </c>
      <c r="CP9">
        <v>40</v>
      </c>
      <c r="CR9">
        <v>0.3</v>
      </c>
      <c r="CT9">
        <v>7.4</v>
      </c>
      <c r="CU9">
        <v>93</v>
      </c>
      <c r="CV9">
        <v>33</v>
      </c>
      <c r="CW9">
        <v>24</v>
      </c>
      <c r="CX9">
        <v>0.9</v>
      </c>
      <c r="DA9">
        <v>25</v>
      </c>
      <c r="DB9">
        <v>19</v>
      </c>
      <c r="DC9">
        <v>378</v>
      </c>
      <c r="DD9">
        <v>145</v>
      </c>
      <c r="DE9">
        <v>2</v>
      </c>
      <c r="DF9">
        <v>2</v>
      </c>
      <c r="DG9">
        <v>100</v>
      </c>
      <c r="DH9">
        <v>2500</v>
      </c>
      <c r="DI9">
        <v>1</v>
      </c>
      <c r="DJ9">
        <v>0</v>
      </c>
      <c r="DL9">
        <v>0</v>
      </c>
      <c r="DM9">
        <v>0</v>
      </c>
      <c r="DN9">
        <v>0</v>
      </c>
      <c r="DO9">
        <v>30</v>
      </c>
      <c r="DP9">
        <v>0</v>
      </c>
      <c r="DQ9">
        <v>0</v>
      </c>
      <c r="DR9">
        <v>0</v>
      </c>
      <c r="DS9">
        <v>135</v>
      </c>
      <c r="DT9">
        <v>57</v>
      </c>
      <c r="DU9">
        <v>80</v>
      </c>
      <c r="DV9">
        <v>56</v>
      </c>
      <c r="DW9">
        <v>36.799999999999997</v>
      </c>
      <c r="DX9">
        <v>0</v>
      </c>
      <c r="DY9">
        <v>0</v>
      </c>
      <c r="DZ9">
        <v>1</v>
      </c>
      <c r="EA9">
        <v>8</v>
      </c>
      <c r="EB9">
        <v>30</v>
      </c>
      <c r="EC9">
        <v>60</v>
      </c>
      <c r="ED9">
        <v>3</v>
      </c>
      <c r="EO9">
        <v>3</v>
      </c>
      <c r="EP9">
        <v>5.5</v>
      </c>
      <c r="EQ9">
        <v>10.32</v>
      </c>
      <c r="ER9">
        <v>3.2</v>
      </c>
      <c r="EU9">
        <v>142</v>
      </c>
      <c r="EV9">
        <v>90</v>
      </c>
      <c r="EW9">
        <v>98</v>
      </c>
      <c r="EX9">
        <v>71</v>
      </c>
      <c r="FA9">
        <v>3</v>
      </c>
      <c r="FB9">
        <v>5.4</v>
      </c>
      <c r="FC9">
        <v>10.55</v>
      </c>
      <c r="FG9">
        <v>140</v>
      </c>
      <c r="FH9">
        <v>70</v>
      </c>
      <c r="FI9">
        <v>92</v>
      </c>
      <c r="FJ9">
        <v>69</v>
      </c>
      <c r="FM9">
        <v>3</v>
      </c>
      <c r="FN9">
        <v>5.6</v>
      </c>
      <c r="FO9">
        <v>10.16</v>
      </c>
      <c r="FS9">
        <v>138</v>
      </c>
      <c r="FT9">
        <v>64</v>
      </c>
      <c r="FU9">
        <v>84</v>
      </c>
      <c r="FV9">
        <v>68</v>
      </c>
      <c r="GD9">
        <v>3</v>
      </c>
      <c r="GE9">
        <v>4.5</v>
      </c>
      <c r="GF9">
        <v>10.47</v>
      </c>
      <c r="GJ9">
        <v>139</v>
      </c>
      <c r="GK9">
        <v>62</v>
      </c>
      <c r="GL9">
        <v>83</v>
      </c>
      <c r="GM9">
        <v>63</v>
      </c>
      <c r="GP9">
        <v>3</v>
      </c>
      <c r="GQ9">
        <v>4.8</v>
      </c>
      <c r="GR9">
        <v>11.47</v>
      </c>
      <c r="GV9">
        <v>129</v>
      </c>
      <c r="GW9">
        <v>55</v>
      </c>
      <c r="GX9">
        <v>77</v>
      </c>
      <c r="GY9">
        <v>58</v>
      </c>
      <c r="HB9">
        <v>3</v>
      </c>
      <c r="HC9">
        <v>5.5</v>
      </c>
      <c r="HD9">
        <v>11.38</v>
      </c>
      <c r="HK9">
        <f t="shared" si="1"/>
        <v>0.23000000000000043</v>
      </c>
      <c r="HL9" s="16">
        <f t="shared" si="2"/>
        <v>2.2286821705426396E-2</v>
      </c>
      <c r="HM9">
        <f t="shared" si="3"/>
        <v>0.3100000000000005</v>
      </c>
      <c r="HN9" s="16">
        <f t="shared" si="4"/>
        <v>3.0511811023622097E-2</v>
      </c>
      <c r="HO9" s="26">
        <f t="shared" si="5"/>
        <v>8.0000000000000071E-2</v>
      </c>
      <c r="HQ9" s="16">
        <f>HP9/FO9</f>
        <v>0</v>
      </c>
      <c r="HR9">
        <f>HD9-GF9</f>
        <v>0.91000000000000014</v>
      </c>
      <c r="HS9">
        <f>EY9-ED9</f>
        <v>-3</v>
      </c>
      <c r="HT9" s="28">
        <v>0</v>
      </c>
      <c r="HV9" s="28"/>
    </row>
    <row r="10" spans="1:230" x14ac:dyDescent="0.35">
      <c r="A10" t="s">
        <v>414</v>
      </c>
      <c r="B10" s="3">
        <v>22164</v>
      </c>
      <c r="C10">
        <v>62</v>
      </c>
      <c r="D10">
        <v>100</v>
      </c>
      <c r="E10">
        <v>175</v>
      </c>
      <c r="F10">
        <f t="shared" si="0"/>
        <v>1.75</v>
      </c>
      <c r="G10">
        <f t="shared" si="6"/>
        <v>32.653061224489797</v>
      </c>
      <c r="H10">
        <v>0</v>
      </c>
      <c r="I10">
        <v>1</v>
      </c>
      <c r="J10" s="31">
        <v>26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144</v>
      </c>
      <c r="AK10" s="3">
        <v>45117</v>
      </c>
      <c r="AL10" t="s">
        <v>301</v>
      </c>
      <c r="AN10">
        <v>1</v>
      </c>
      <c r="AO10">
        <v>0</v>
      </c>
      <c r="AP10">
        <v>1</v>
      </c>
      <c r="AQ10">
        <v>0</v>
      </c>
      <c r="AR10">
        <v>0</v>
      </c>
      <c r="AS10">
        <v>44</v>
      </c>
      <c r="AT10">
        <v>9</v>
      </c>
      <c r="AU10">
        <v>4</v>
      </c>
      <c r="AV10">
        <v>1</v>
      </c>
      <c r="AW10">
        <v>1</v>
      </c>
      <c r="AX10">
        <v>2</v>
      </c>
      <c r="AY10">
        <v>1</v>
      </c>
      <c r="AZ10">
        <v>0</v>
      </c>
      <c r="BA10">
        <v>18.600000000000001</v>
      </c>
      <c r="BB10">
        <v>8.1999999999999993</v>
      </c>
      <c r="BC10">
        <v>319</v>
      </c>
      <c r="BD10">
        <v>39</v>
      </c>
      <c r="BE10">
        <v>34.6</v>
      </c>
      <c r="BF10">
        <v>269</v>
      </c>
      <c r="BG10">
        <v>136</v>
      </c>
      <c r="BH10">
        <v>104</v>
      </c>
      <c r="BI10">
        <v>20</v>
      </c>
      <c r="BJ10" t="s">
        <v>144</v>
      </c>
      <c r="BK10" t="s">
        <v>144</v>
      </c>
      <c r="BL10" t="s">
        <v>144</v>
      </c>
      <c r="BM10">
        <v>7.33</v>
      </c>
      <c r="BN10">
        <v>384</v>
      </c>
      <c r="BO10">
        <v>31.5</v>
      </c>
      <c r="BP10">
        <v>16.7</v>
      </c>
      <c r="BQ10">
        <v>3.6</v>
      </c>
      <c r="BR10">
        <v>40</v>
      </c>
      <c r="BS10">
        <v>58</v>
      </c>
      <c r="BT10">
        <v>30</v>
      </c>
      <c r="BU10">
        <v>18</v>
      </c>
      <c r="BV10">
        <v>152</v>
      </c>
      <c r="BW10">
        <v>53</v>
      </c>
      <c r="BX10" s="3">
        <v>45119</v>
      </c>
      <c r="BY10">
        <v>48</v>
      </c>
      <c r="BZ10">
        <v>101.5</v>
      </c>
      <c r="CA10">
        <v>11</v>
      </c>
      <c r="CB10">
        <v>4</v>
      </c>
      <c r="CC10">
        <v>3</v>
      </c>
      <c r="CD10">
        <v>1</v>
      </c>
      <c r="CE10">
        <v>0</v>
      </c>
      <c r="CF10">
        <v>2</v>
      </c>
      <c r="CG10">
        <v>1</v>
      </c>
      <c r="CH10">
        <v>12.7</v>
      </c>
      <c r="CI10">
        <v>7.6</v>
      </c>
      <c r="CJ10">
        <v>113</v>
      </c>
      <c r="CK10" t="s">
        <v>144</v>
      </c>
      <c r="CL10">
        <v>15</v>
      </c>
      <c r="CM10">
        <v>77</v>
      </c>
      <c r="CN10">
        <v>144</v>
      </c>
      <c r="CO10">
        <v>115</v>
      </c>
      <c r="CP10">
        <v>50</v>
      </c>
      <c r="CQ10" t="s">
        <v>282</v>
      </c>
      <c r="CR10" t="s">
        <v>282</v>
      </c>
      <c r="CS10" t="s">
        <v>282</v>
      </c>
      <c r="CT10">
        <v>7.5</v>
      </c>
      <c r="CU10">
        <v>130</v>
      </c>
      <c r="CV10">
        <v>28</v>
      </c>
      <c r="CW10">
        <v>22</v>
      </c>
      <c r="CX10">
        <v>2.1</v>
      </c>
      <c r="CY10" t="s">
        <v>144</v>
      </c>
      <c r="CZ10" t="s">
        <v>144</v>
      </c>
      <c r="DA10">
        <v>29</v>
      </c>
      <c r="DB10">
        <v>25</v>
      </c>
      <c r="DC10">
        <v>322</v>
      </c>
      <c r="DD10">
        <v>21</v>
      </c>
      <c r="DE10" t="s">
        <v>300</v>
      </c>
      <c r="DF10">
        <v>2</v>
      </c>
      <c r="DG10">
        <v>100</v>
      </c>
      <c r="DI10">
        <v>0</v>
      </c>
      <c r="DJ10">
        <v>0</v>
      </c>
      <c r="DL10">
        <v>0</v>
      </c>
      <c r="DM10">
        <v>0</v>
      </c>
      <c r="DN10">
        <v>0</v>
      </c>
      <c r="DO10">
        <v>200</v>
      </c>
      <c r="DP10">
        <v>10</v>
      </c>
      <c r="DQ10">
        <v>0</v>
      </c>
      <c r="DR10">
        <v>0</v>
      </c>
      <c r="DS10">
        <v>94</v>
      </c>
      <c r="DT10">
        <v>48</v>
      </c>
      <c r="DU10">
        <v>61</v>
      </c>
      <c r="DV10">
        <v>108</v>
      </c>
      <c r="DW10">
        <v>39.799999999999997</v>
      </c>
      <c r="DX10">
        <v>0</v>
      </c>
      <c r="DY10">
        <v>0</v>
      </c>
      <c r="DZ10">
        <v>1</v>
      </c>
      <c r="EA10">
        <v>8</v>
      </c>
      <c r="EB10">
        <v>100</v>
      </c>
      <c r="EC10">
        <v>60</v>
      </c>
      <c r="ED10">
        <v>6.7</v>
      </c>
      <c r="EE10">
        <v>60</v>
      </c>
      <c r="EF10">
        <v>20</v>
      </c>
      <c r="EG10">
        <v>100</v>
      </c>
      <c r="EH10">
        <v>0</v>
      </c>
      <c r="EI10">
        <v>0</v>
      </c>
      <c r="EJ10">
        <v>0.7</v>
      </c>
      <c r="EK10">
        <v>6.9</v>
      </c>
      <c r="EL10">
        <v>12</v>
      </c>
      <c r="EM10" t="s">
        <v>144</v>
      </c>
      <c r="EN10" t="s">
        <v>144</v>
      </c>
      <c r="EO10">
        <v>0</v>
      </c>
      <c r="EP10">
        <v>1.65</v>
      </c>
      <c r="EQ10">
        <v>150.55000000000001</v>
      </c>
      <c r="EU10">
        <v>98</v>
      </c>
      <c r="EV10">
        <v>49</v>
      </c>
      <c r="EW10">
        <v>65</v>
      </c>
      <c r="EX10">
        <v>106</v>
      </c>
      <c r="EY10">
        <v>7</v>
      </c>
      <c r="EZ10" t="s">
        <v>144</v>
      </c>
      <c r="FA10">
        <v>0</v>
      </c>
      <c r="FB10">
        <v>2.78</v>
      </c>
      <c r="FC10">
        <v>112.98</v>
      </c>
      <c r="FG10">
        <v>95</v>
      </c>
      <c r="FH10">
        <v>45</v>
      </c>
      <c r="FI10">
        <v>63</v>
      </c>
      <c r="FJ10">
        <v>106</v>
      </c>
      <c r="FK10">
        <v>6</v>
      </c>
      <c r="FL10" t="s">
        <v>144</v>
      </c>
      <c r="FM10">
        <v>0</v>
      </c>
      <c r="FO10">
        <v>130.15</v>
      </c>
      <c r="FS10">
        <v>92</v>
      </c>
      <c r="FT10">
        <v>46</v>
      </c>
      <c r="FU10">
        <v>61</v>
      </c>
      <c r="FV10">
        <v>105</v>
      </c>
      <c r="FW10">
        <v>7.2</v>
      </c>
      <c r="GC10">
        <v>8</v>
      </c>
      <c r="GD10">
        <v>0</v>
      </c>
      <c r="GE10">
        <v>2.0499999999999998</v>
      </c>
      <c r="GF10">
        <v>125.21</v>
      </c>
      <c r="GJ10">
        <v>102</v>
      </c>
      <c r="GK10">
        <v>50</v>
      </c>
      <c r="GL10">
        <v>65</v>
      </c>
      <c r="GM10">
        <v>103</v>
      </c>
      <c r="GN10">
        <v>6.8</v>
      </c>
      <c r="GO10">
        <v>4</v>
      </c>
      <c r="GP10">
        <v>0</v>
      </c>
      <c r="GQ10">
        <v>2.15</v>
      </c>
      <c r="GR10">
        <v>122.02</v>
      </c>
      <c r="GV10">
        <v>98</v>
      </c>
      <c r="GW10">
        <v>49</v>
      </c>
      <c r="GX10">
        <v>64</v>
      </c>
      <c r="GY10">
        <v>101</v>
      </c>
      <c r="GZ10">
        <v>6.2</v>
      </c>
      <c r="HA10">
        <v>4</v>
      </c>
      <c r="HB10">
        <v>0</v>
      </c>
      <c r="HC10">
        <v>1.8</v>
      </c>
      <c r="HD10">
        <v>131.30000000000001</v>
      </c>
      <c r="HK10">
        <f t="shared" si="1"/>
        <v>-37.570000000000007</v>
      </c>
      <c r="HL10" s="16">
        <f t="shared" si="2"/>
        <v>-0.24955164397210233</v>
      </c>
      <c r="HM10">
        <f t="shared" si="3"/>
        <v>-4.9400000000000119</v>
      </c>
      <c r="HN10" s="16">
        <f t="shared" si="4"/>
        <v>-3.7956204379562132E-2</v>
      </c>
      <c r="HO10" s="26">
        <f t="shared" si="5"/>
        <v>32.629999999999995</v>
      </c>
      <c r="HQ10" s="16">
        <f>HP10/FO10</f>
        <v>0</v>
      </c>
      <c r="HR10">
        <f>HD10-GF10</f>
        <v>6.0900000000000176</v>
      </c>
      <c r="HS10">
        <f>EY10-ED10</f>
        <v>0.29999999999999982</v>
      </c>
      <c r="HT10" s="28">
        <f>(HS10/ED10)*100</f>
        <v>4.4776119402985044</v>
      </c>
      <c r="HU10">
        <f>FW10-FK10</f>
        <v>1.2000000000000002</v>
      </c>
      <c r="HV10" s="29">
        <f>(HU10/FK10)*100</f>
        <v>20.000000000000004</v>
      </c>
    </row>
    <row r="11" spans="1:230" x14ac:dyDescent="0.35">
      <c r="A11" t="s">
        <v>415</v>
      </c>
      <c r="B11" s="3">
        <v>19614</v>
      </c>
      <c r="C11">
        <v>69</v>
      </c>
      <c r="D11">
        <v>101</v>
      </c>
      <c r="E11">
        <v>169</v>
      </c>
      <c r="F11">
        <f t="shared" si="0"/>
        <v>1.69</v>
      </c>
      <c r="G11">
        <f t="shared" si="6"/>
        <v>35.362907461223351</v>
      </c>
      <c r="H11">
        <v>0</v>
      </c>
      <c r="I11">
        <v>1</v>
      </c>
      <c r="J11" s="31">
        <v>35</v>
      </c>
      <c r="K11">
        <v>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30</v>
      </c>
      <c r="AG11">
        <v>1</v>
      </c>
      <c r="AH11">
        <v>1</v>
      </c>
      <c r="AI11">
        <v>0</v>
      </c>
      <c r="AJ11">
        <v>1</v>
      </c>
      <c r="AK11" s="3">
        <v>44992</v>
      </c>
      <c r="AL11" t="s">
        <v>41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65</v>
      </c>
      <c r="AT11">
        <v>10</v>
      </c>
      <c r="AU11">
        <v>4</v>
      </c>
      <c r="AV11">
        <v>2</v>
      </c>
      <c r="AW11">
        <v>3</v>
      </c>
      <c r="AX11">
        <v>1</v>
      </c>
      <c r="AY11">
        <v>0</v>
      </c>
      <c r="AZ11">
        <v>0</v>
      </c>
      <c r="BA11">
        <v>16.5</v>
      </c>
      <c r="BB11" t="s">
        <v>206</v>
      </c>
      <c r="BC11">
        <v>359</v>
      </c>
      <c r="BD11">
        <v>63</v>
      </c>
      <c r="BE11" t="s">
        <v>207</v>
      </c>
      <c r="BF11">
        <v>157</v>
      </c>
      <c r="BG11">
        <v>132</v>
      </c>
      <c r="BH11">
        <v>98</v>
      </c>
      <c r="BI11">
        <v>14</v>
      </c>
      <c r="BJ11" t="s">
        <v>144</v>
      </c>
      <c r="BK11" t="s">
        <v>144</v>
      </c>
      <c r="BL11" t="s">
        <v>144</v>
      </c>
      <c r="BM11" t="s">
        <v>208</v>
      </c>
      <c r="BN11">
        <v>209</v>
      </c>
      <c r="BO11">
        <v>29</v>
      </c>
      <c r="BP11">
        <v>20</v>
      </c>
      <c r="BQ11" t="s">
        <v>209</v>
      </c>
      <c r="BR11">
        <v>94</v>
      </c>
      <c r="BS11">
        <v>132</v>
      </c>
      <c r="BT11">
        <v>41</v>
      </c>
      <c r="BU11">
        <v>44</v>
      </c>
      <c r="BV11">
        <v>734</v>
      </c>
      <c r="BW11">
        <v>140</v>
      </c>
      <c r="BX11" s="3">
        <v>45002</v>
      </c>
      <c r="BZ11">
        <v>93</v>
      </c>
      <c r="CA11">
        <v>12</v>
      </c>
      <c r="CB11">
        <v>4</v>
      </c>
      <c r="CC11">
        <v>3</v>
      </c>
      <c r="CD11">
        <v>4</v>
      </c>
      <c r="CE11">
        <v>1</v>
      </c>
      <c r="CF11">
        <v>0</v>
      </c>
      <c r="CG11">
        <v>0</v>
      </c>
      <c r="CH11" t="s">
        <v>210</v>
      </c>
      <c r="CI11" t="s">
        <v>211</v>
      </c>
      <c r="CJ11">
        <v>399</v>
      </c>
      <c r="CK11">
        <v>63</v>
      </c>
      <c r="CL11" t="s">
        <v>212</v>
      </c>
      <c r="CM11">
        <v>118</v>
      </c>
      <c r="CN11">
        <v>141</v>
      </c>
      <c r="CO11">
        <v>110</v>
      </c>
      <c r="CP11">
        <v>12</v>
      </c>
      <c r="CQ11" t="s">
        <v>144</v>
      </c>
      <c r="CR11" t="s">
        <v>144</v>
      </c>
      <c r="CS11" t="s">
        <v>144</v>
      </c>
      <c r="CT11" t="s">
        <v>213</v>
      </c>
      <c r="CU11">
        <v>182</v>
      </c>
      <c r="CV11">
        <v>39</v>
      </c>
      <c r="CW11">
        <v>21</v>
      </c>
      <c r="CX11" t="s">
        <v>214</v>
      </c>
      <c r="CY11" t="s">
        <v>144</v>
      </c>
      <c r="CZ11" t="s">
        <v>144</v>
      </c>
      <c r="DA11">
        <v>23</v>
      </c>
      <c r="DB11">
        <v>33</v>
      </c>
      <c r="DC11" t="s">
        <v>144</v>
      </c>
      <c r="DD11" t="s">
        <v>144</v>
      </c>
      <c r="DE11">
        <v>1</v>
      </c>
      <c r="DF11">
        <v>2</v>
      </c>
      <c r="DG11">
        <v>100</v>
      </c>
      <c r="DI11">
        <v>0</v>
      </c>
      <c r="DJ11">
        <v>0</v>
      </c>
      <c r="DK11">
        <v>0.9</v>
      </c>
      <c r="DL11">
        <v>1</v>
      </c>
      <c r="DM11">
        <v>0</v>
      </c>
      <c r="DN11">
        <v>0</v>
      </c>
      <c r="DO11">
        <v>120</v>
      </c>
      <c r="DP11">
        <v>10</v>
      </c>
      <c r="DQ11">
        <v>0</v>
      </c>
      <c r="DR11">
        <v>0</v>
      </c>
      <c r="DS11">
        <v>93</v>
      </c>
      <c r="DT11">
        <v>39</v>
      </c>
      <c r="DU11">
        <v>55</v>
      </c>
      <c r="DV11">
        <v>88</v>
      </c>
      <c r="DW11">
        <v>37</v>
      </c>
      <c r="DX11">
        <v>0</v>
      </c>
      <c r="DY11">
        <v>0</v>
      </c>
      <c r="DZ11">
        <v>1</v>
      </c>
      <c r="EA11">
        <v>10</v>
      </c>
      <c r="EB11">
        <v>100</v>
      </c>
      <c r="EC11">
        <v>60</v>
      </c>
      <c r="ED11">
        <v>4.2</v>
      </c>
      <c r="EE11">
        <v>20</v>
      </c>
      <c r="EF11">
        <v>14</v>
      </c>
      <c r="EG11">
        <v>50</v>
      </c>
      <c r="EH11">
        <v>0</v>
      </c>
      <c r="EI11">
        <v>0</v>
      </c>
      <c r="EJ11">
        <v>1</v>
      </c>
      <c r="EK11">
        <v>16</v>
      </c>
      <c r="EL11">
        <v>5</v>
      </c>
      <c r="EM11" t="s">
        <v>144</v>
      </c>
      <c r="EN11" t="s">
        <v>144</v>
      </c>
      <c r="EO11">
        <v>2</v>
      </c>
      <c r="EP11">
        <v>3.13</v>
      </c>
      <c r="EQ11">
        <v>94.17</v>
      </c>
      <c r="ER11" t="s">
        <v>218</v>
      </c>
      <c r="ES11" t="s">
        <v>219</v>
      </c>
      <c r="ET11" t="s">
        <v>220</v>
      </c>
      <c r="EU11">
        <v>84</v>
      </c>
      <c r="EV11">
        <v>39</v>
      </c>
      <c r="EW11">
        <v>52</v>
      </c>
      <c r="EX11">
        <v>80</v>
      </c>
      <c r="EY11">
        <v>3.7</v>
      </c>
      <c r="EZ11">
        <v>5</v>
      </c>
      <c r="FA11">
        <v>2</v>
      </c>
      <c r="FB11">
        <v>3.89</v>
      </c>
      <c r="FC11">
        <v>89.9</v>
      </c>
      <c r="FD11" t="s">
        <v>222</v>
      </c>
      <c r="FE11" t="s">
        <v>223</v>
      </c>
      <c r="FF11" t="s">
        <v>224</v>
      </c>
      <c r="FG11">
        <v>102</v>
      </c>
      <c r="FH11">
        <v>48</v>
      </c>
      <c r="FI11">
        <v>65</v>
      </c>
      <c r="FJ11">
        <v>80</v>
      </c>
      <c r="FK11">
        <v>4.4000000000000004</v>
      </c>
      <c r="FL11">
        <v>5</v>
      </c>
      <c r="FM11">
        <v>2</v>
      </c>
      <c r="FN11">
        <v>1.62</v>
      </c>
      <c r="FO11">
        <v>78.42</v>
      </c>
      <c r="FP11" t="s">
        <v>228</v>
      </c>
      <c r="FQ11" t="s">
        <v>229</v>
      </c>
      <c r="FR11" t="s">
        <v>230</v>
      </c>
      <c r="FS11">
        <v>116</v>
      </c>
      <c r="FT11">
        <v>43</v>
      </c>
      <c r="FU11">
        <v>67</v>
      </c>
      <c r="FV11">
        <v>78</v>
      </c>
      <c r="FW11">
        <v>4</v>
      </c>
      <c r="GC11">
        <v>5</v>
      </c>
      <c r="GD11">
        <v>1</v>
      </c>
      <c r="GE11">
        <v>1.93</v>
      </c>
      <c r="GF11">
        <v>101.34</v>
      </c>
      <c r="GG11" t="s">
        <v>232</v>
      </c>
      <c r="GH11" t="s">
        <v>233</v>
      </c>
      <c r="GI11" t="s">
        <v>234</v>
      </c>
      <c r="HH11">
        <v>1</v>
      </c>
      <c r="HI11">
        <v>1</v>
      </c>
      <c r="HJ11" s="3">
        <v>45028</v>
      </c>
      <c r="HK11">
        <f t="shared" si="1"/>
        <v>-4.269999999999996</v>
      </c>
      <c r="HL11" s="16">
        <f t="shared" si="2"/>
        <v>-4.5343527662737561E-2</v>
      </c>
      <c r="HM11">
        <f t="shared" si="3"/>
        <v>22.92</v>
      </c>
      <c r="HN11" s="16">
        <f t="shared" si="4"/>
        <v>0.29227237949502677</v>
      </c>
      <c r="HO11" s="26">
        <f t="shared" si="5"/>
        <v>27.189999999999998</v>
      </c>
      <c r="HQ11" s="16"/>
      <c r="HS11">
        <f>EY11-ED11</f>
        <v>-0.5</v>
      </c>
      <c r="HT11" s="28">
        <f>(HS11/ED11)*100</f>
        <v>-11.904761904761903</v>
      </c>
      <c r="HU11">
        <f>FW11-FK11</f>
        <v>-0.40000000000000036</v>
      </c>
      <c r="HV11" s="28">
        <f>(HU11/FK11)*100</f>
        <v>-9.0909090909090988</v>
      </c>
    </row>
    <row r="12" spans="1:230" x14ac:dyDescent="0.35">
      <c r="A12" t="s">
        <v>416</v>
      </c>
      <c r="B12" s="3">
        <v>13420</v>
      </c>
      <c r="C12">
        <v>86</v>
      </c>
      <c r="D12">
        <v>51</v>
      </c>
      <c r="E12">
        <v>160</v>
      </c>
      <c r="F12">
        <f t="shared" si="0"/>
        <v>1.6</v>
      </c>
      <c r="G12">
        <f t="shared" si="6"/>
        <v>19.921874999999996</v>
      </c>
      <c r="H12">
        <v>1</v>
      </c>
      <c r="I12">
        <v>0</v>
      </c>
      <c r="J12" s="31">
        <v>43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K12" s="3">
        <v>45184</v>
      </c>
      <c r="AL12" t="s">
        <v>356</v>
      </c>
      <c r="AN12">
        <v>0</v>
      </c>
      <c r="AO12">
        <v>0</v>
      </c>
      <c r="AP12">
        <v>0</v>
      </c>
      <c r="AQ12">
        <v>0</v>
      </c>
      <c r="AR12">
        <v>0</v>
      </c>
      <c r="AT12">
        <v>4</v>
      </c>
      <c r="AU12">
        <v>1</v>
      </c>
      <c r="AV12">
        <v>0</v>
      </c>
      <c r="AW12">
        <v>3</v>
      </c>
      <c r="AX12">
        <v>0</v>
      </c>
      <c r="AY12">
        <v>0</v>
      </c>
      <c r="AZ12">
        <v>0</v>
      </c>
      <c r="BA12">
        <v>12.78</v>
      </c>
      <c r="BB12">
        <v>9.1</v>
      </c>
      <c r="BC12">
        <v>311</v>
      </c>
      <c r="BD12">
        <v>58</v>
      </c>
      <c r="BE12">
        <v>5.5</v>
      </c>
      <c r="BF12">
        <v>53</v>
      </c>
      <c r="BG12">
        <v>139</v>
      </c>
      <c r="BH12">
        <v>104</v>
      </c>
      <c r="BI12">
        <v>9</v>
      </c>
      <c r="BJ12">
        <v>100</v>
      </c>
      <c r="BM12">
        <v>7.51</v>
      </c>
      <c r="BN12">
        <v>496</v>
      </c>
      <c r="BO12">
        <v>34</v>
      </c>
      <c r="BP12">
        <v>26</v>
      </c>
      <c r="BQ12">
        <v>0.6</v>
      </c>
      <c r="BR12">
        <v>100</v>
      </c>
      <c r="BS12">
        <v>146</v>
      </c>
      <c r="BT12">
        <v>25</v>
      </c>
      <c r="BU12">
        <v>9</v>
      </c>
      <c r="BV12">
        <v>436</v>
      </c>
      <c r="BW12">
        <v>121</v>
      </c>
      <c r="BX12" s="3">
        <v>45184</v>
      </c>
      <c r="BY12">
        <v>5</v>
      </c>
      <c r="BZ12">
        <v>51</v>
      </c>
      <c r="CA12">
        <v>4</v>
      </c>
      <c r="CB12">
        <v>1</v>
      </c>
      <c r="CC12">
        <v>0</v>
      </c>
      <c r="CD12">
        <v>3</v>
      </c>
      <c r="CE12">
        <v>0</v>
      </c>
      <c r="CF12">
        <v>0</v>
      </c>
      <c r="CG12">
        <v>0</v>
      </c>
      <c r="CH12">
        <v>12.78</v>
      </c>
      <c r="CI12">
        <v>9.1</v>
      </c>
      <c r="CJ12">
        <v>311</v>
      </c>
      <c r="CK12">
        <v>58</v>
      </c>
      <c r="CL12">
        <v>5.5</v>
      </c>
      <c r="CM12">
        <v>53</v>
      </c>
      <c r="CN12">
        <v>139</v>
      </c>
      <c r="CO12">
        <v>104</v>
      </c>
      <c r="CP12">
        <v>9</v>
      </c>
      <c r="CQ12">
        <v>100</v>
      </c>
      <c r="CT12">
        <v>7.51</v>
      </c>
      <c r="CU12">
        <v>496</v>
      </c>
      <c r="CV12">
        <v>34</v>
      </c>
      <c r="CW12">
        <v>26</v>
      </c>
      <c r="CX12">
        <v>0.6</v>
      </c>
      <c r="CY12">
        <v>100</v>
      </c>
      <c r="CZ12">
        <v>146</v>
      </c>
      <c r="DA12">
        <v>25</v>
      </c>
      <c r="DB12">
        <v>9</v>
      </c>
      <c r="DC12">
        <v>436</v>
      </c>
      <c r="DD12">
        <v>121</v>
      </c>
      <c r="DE12">
        <v>2</v>
      </c>
      <c r="DF12">
        <v>1</v>
      </c>
      <c r="DG12">
        <v>500</v>
      </c>
      <c r="DI12">
        <v>0</v>
      </c>
      <c r="DJ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107</v>
      </c>
      <c r="DT12">
        <v>61</v>
      </c>
      <c r="DU12">
        <v>74</v>
      </c>
      <c r="DV12">
        <v>107</v>
      </c>
      <c r="DW12">
        <v>38.6</v>
      </c>
      <c r="DX12">
        <v>0</v>
      </c>
      <c r="DY12">
        <v>0</v>
      </c>
      <c r="DZ12">
        <v>1</v>
      </c>
      <c r="EA12">
        <v>5</v>
      </c>
      <c r="EB12">
        <v>21</v>
      </c>
      <c r="EC12">
        <v>60</v>
      </c>
      <c r="ED12">
        <v>7.5</v>
      </c>
      <c r="EE12">
        <v>40</v>
      </c>
      <c r="EF12">
        <v>6</v>
      </c>
      <c r="EG12">
        <v>50</v>
      </c>
      <c r="EH12">
        <v>0</v>
      </c>
      <c r="EI12">
        <v>0</v>
      </c>
      <c r="EJ12" t="s">
        <v>144</v>
      </c>
      <c r="EK12" t="s">
        <v>144</v>
      </c>
      <c r="EL12" t="s">
        <v>144</v>
      </c>
      <c r="EM12" t="s">
        <v>144</v>
      </c>
      <c r="EN12" t="s">
        <v>144</v>
      </c>
      <c r="EO12">
        <v>3</v>
      </c>
      <c r="EP12">
        <v>3.9</v>
      </c>
      <c r="EQ12">
        <v>24.31</v>
      </c>
      <c r="ER12">
        <v>2.8</v>
      </c>
      <c r="ES12">
        <v>16.399999999999999</v>
      </c>
      <c r="ET12">
        <v>36</v>
      </c>
      <c r="EU12">
        <v>126</v>
      </c>
      <c r="EV12">
        <v>76</v>
      </c>
      <c r="EW12">
        <v>89</v>
      </c>
      <c r="EX12">
        <v>105</v>
      </c>
      <c r="EY12">
        <v>8.1999999999999993</v>
      </c>
      <c r="FA12">
        <v>3</v>
      </c>
      <c r="FB12">
        <v>3.9</v>
      </c>
      <c r="FC12">
        <v>25.44</v>
      </c>
      <c r="FG12">
        <v>117</v>
      </c>
      <c r="FH12">
        <v>69</v>
      </c>
      <c r="FI12">
        <v>82</v>
      </c>
      <c r="FJ12">
        <v>102</v>
      </c>
      <c r="FK12">
        <v>7.2</v>
      </c>
      <c r="FM12">
        <v>3</v>
      </c>
      <c r="FN12">
        <v>3.9</v>
      </c>
      <c r="FO12">
        <v>27.8</v>
      </c>
      <c r="FS12">
        <v>105</v>
      </c>
      <c r="FT12">
        <v>68</v>
      </c>
      <c r="FU12">
        <v>80</v>
      </c>
      <c r="FV12">
        <v>100</v>
      </c>
      <c r="FW12">
        <v>8.1</v>
      </c>
      <c r="FX12">
        <v>40</v>
      </c>
      <c r="GD12">
        <v>3</v>
      </c>
      <c r="GE12">
        <v>3.5</v>
      </c>
      <c r="GF12">
        <v>29.24</v>
      </c>
      <c r="HK12">
        <f t="shared" si="1"/>
        <v>1.1300000000000026</v>
      </c>
      <c r="HL12" s="16">
        <f t="shared" si="2"/>
        <v>4.6482928835870123E-2</v>
      </c>
      <c r="HM12">
        <f t="shared" si="3"/>
        <v>1.4399999999999977</v>
      </c>
      <c r="HN12" s="16">
        <f t="shared" si="4"/>
        <v>5.1798561151079052E-2</v>
      </c>
      <c r="HO12" s="26">
        <f t="shared" si="5"/>
        <v>0.30999999999999517</v>
      </c>
      <c r="HS12">
        <f>EY12-ED12</f>
        <v>0.69999999999999929</v>
      </c>
      <c r="HT12" s="28">
        <f>(HS12/ED12)*100</f>
        <v>9.3333333333333233</v>
      </c>
      <c r="HU12">
        <f>FW12-FK12</f>
        <v>0.89999999999999947</v>
      </c>
      <c r="HV12" s="28">
        <f>(HU12/FK12)*100</f>
        <v>12.499999999999991</v>
      </c>
    </row>
    <row r="13" spans="1:230" s="33" customFormat="1" x14ac:dyDescent="0.35">
      <c r="A13" s="33" t="s">
        <v>417</v>
      </c>
      <c r="B13" s="34">
        <v>24869</v>
      </c>
      <c r="C13" s="35">
        <v>43</v>
      </c>
      <c r="D13" s="33">
        <v>55</v>
      </c>
      <c r="E13" s="33">
        <v>47.5</v>
      </c>
      <c r="F13" s="33">
        <v>172</v>
      </c>
      <c r="G13" s="33">
        <f>F13/100</f>
        <v>1.72</v>
      </c>
      <c r="H13" s="33">
        <f>E13/(G13*G13)</f>
        <v>16.055976203353165</v>
      </c>
      <c r="I13" s="33">
        <v>0</v>
      </c>
      <c r="J13" s="33">
        <v>1</v>
      </c>
      <c r="K13" s="33">
        <v>1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1</v>
      </c>
      <c r="AD13" s="33">
        <v>0</v>
      </c>
      <c r="AE13" s="33">
        <v>0</v>
      </c>
      <c r="AF13" s="33" t="s">
        <v>144</v>
      </c>
      <c r="AK13" s="34">
        <v>45134</v>
      </c>
      <c r="AL13" s="33" t="s">
        <v>321</v>
      </c>
      <c r="AN13" s="33">
        <v>1</v>
      </c>
      <c r="AO13" s="33">
        <v>1</v>
      </c>
      <c r="AP13" s="33">
        <v>0</v>
      </c>
      <c r="AQ13" s="33">
        <v>0</v>
      </c>
      <c r="AR13" s="33">
        <v>0</v>
      </c>
      <c r="AT13" s="33">
        <v>10</v>
      </c>
      <c r="AU13" s="33">
        <v>4</v>
      </c>
      <c r="AV13" s="33">
        <v>1</v>
      </c>
      <c r="AW13" s="33">
        <v>4</v>
      </c>
      <c r="AX13" s="33">
        <v>0</v>
      </c>
      <c r="AY13" s="33">
        <v>1</v>
      </c>
      <c r="AZ13" s="33">
        <v>0</v>
      </c>
      <c r="BA13" s="33">
        <v>14</v>
      </c>
      <c r="BB13" s="33">
        <v>13</v>
      </c>
      <c r="BC13" s="33">
        <v>170</v>
      </c>
      <c r="BD13" s="33">
        <v>94</v>
      </c>
      <c r="BE13" s="33">
        <v>3</v>
      </c>
      <c r="BF13" s="33">
        <v>51</v>
      </c>
      <c r="BG13" s="33">
        <v>136</v>
      </c>
      <c r="BH13" s="33">
        <v>106</v>
      </c>
      <c r="BI13" s="33">
        <v>24</v>
      </c>
      <c r="BJ13" s="33">
        <v>48</v>
      </c>
      <c r="BK13" s="33">
        <v>0.56000000000000005</v>
      </c>
      <c r="BL13" s="33">
        <v>21</v>
      </c>
      <c r="BM13" s="33">
        <v>7.29</v>
      </c>
      <c r="BN13" s="33">
        <v>307</v>
      </c>
      <c r="BO13" s="33">
        <v>46</v>
      </c>
      <c r="BP13" s="33">
        <v>22</v>
      </c>
      <c r="BQ13" s="33">
        <v>1.6</v>
      </c>
      <c r="BR13" s="33">
        <v>59</v>
      </c>
      <c r="BS13" s="33">
        <v>92</v>
      </c>
      <c r="BT13" s="33">
        <v>93</v>
      </c>
      <c r="BU13" s="33">
        <v>15</v>
      </c>
      <c r="BV13" s="33">
        <v>529</v>
      </c>
      <c r="BW13" s="33">
        <v>593</v>
      </c>
      <c r="BX13" s="34">
        <v>45138</v>
      </c>
      <c r="BZ13" s="33">
        <v>52</v>
      </c>
      <c r="CA13" s="33">
        <v>7</v>
      </c>
      <c r="CB13" s="33">
        <v>3</v>
      </c>
      <c r="CC13" s="33">
        <v>3</v>
      </c>
      <c r="CD13" s="33">
        <v>0</v>
      </c>
      <c r="CE13" s="33">
        <v>0</v>
      </c>
      <c r="CF13" s="33">
        <v>0</v>
      </c>
      <c r="CG13" s="33">
        <v>1</v>
      </c>
      <c r="CH13" s="33">
        <v>5.9</v>
      </c>
      <c r="CI13" s="33">
        <v>10.8</v>
      </c>
      <c r="CJ13" s="33">
        <v>111</v>
      </c>
      <c r="CK13" s="33">
        <v>83</v>
      </c>
      <c r="CL13" s="33">
        <v>8.4</v>
      </c>
      <c r="CM13" s="33">
        <v>83</v>
      </c>
      <c r="CN13" s="33">
        <v>143</v>
      </c>
      <c r="CO13" s="33">
        <v>110</v>
      </c>
      <c r="CP13" s="33">
        <v>15</v>
      </c>
      <c r="CQ13" s="33" t="s">
        <v>144</v>
      </c>
      <c r="CR13" s="33" t="s">
        <v>144</v>
      </c>
      <c r="CS13" s="33" t="s">
        <v>144</v>
      </c>
      <c r="CT13" s="33">
        <v>7.4</v>
      </c>
      <c r="CU13" s="33">
        <v>73</v>
      </c>
      <c r="CV13" s="33">
        <v>42</v>
      </c>
      <c r="CW13" s="33">
        <v>30</v>
      </c>
      <c r="CX13" s="33">
        <v>1.5</v>
      </c>
      <c r="CY13" s="33">
        <v>66</v>
      </c>
      <c r="CZ13" s="33" t="s">
        <v>144</v>
      </c>
      <c r="DA13" s="33">
        <v>93</v>
      </c>
      <c r="DB13" s="33">
        <v>25</v>
      </c>
      <c r="DC13" s="33">
        <v>533</v>
      </c>
      <c r="DD13" s="33">
        <v>223</v>
      </c>
      <c r="DE13" s="33">
        <v>1</v>
      </c>
      <c r="DF13" s="33">
        <v>1</v>
      </c>
      <c r="DG13" s="33">
        <v>500</v>
      </c>
      <c r="DI13" s="33">
        <v>0</v>
      </c>
      <c r="DJ13" s="33">
        <v>0</v>
      </c>
      <c r="DK13" s="33">
        <v>0.05</v>
      </c>
      <c r="DL13" s="33">
        <v>1</v>
      </c>
      <c r="DM13" s="33">
        <v>0</v>
      </c>
      <c r="DN13" s="33">
        <v>0</v>
      </c>
      <c r="DO13" s="33">
        <v>0</v>
      </c>
      <c r="DP13" s="33">
        <v>0</v>
      </c>
      <c r="DQ13" s="33">
        <v>0</v>
      </c>
      <c r="DR13" s="33">
        <v>0</v>
      </c>
      <c r="DS13" s="33">
        <v>115</v>
      </c>
      <c r="DT13" s="33">
        <v>76</v>
      </c>
      <c r="DU13" s="33">
        <v>90</v>
      </c>
      <c r="DV13" s="33">
        <v>106</v>
      </c>
      <c r="DW13" s="33">
        <v>36.4</v>
      </c>
      <c r="DX13" s="33">
        <v>0</v>
      </c>
      <c r="DY13" s="33">
        <v>1</v>
      </c>
      <c r="DZ13" s="33">
        <v>0</v>
      </c>
      <c r="EA13" s="33">
        <v>6</v>
      </c>
      <c r="EB13" s="33">
        <v>60</v>
      </c>
      <c r="EC13" s="33">
        <v>60</v>
      </c>
      <c r="ED13" s="33">
        <v>3.5</v>
      </c>
      <c r="EE13" s="33">
        <v>30</v>
      </c>
      <c r="EF13" s="33">
        <v>15</v>
      </c>
      <c r="EG13" s="33">
        <v>50</v>
      </c>
      <c r="EH13" s="33">
        <v>0</v>
      </c>
      <c r="EI13" s="33">
        <v>0</v>
      </c>
      <c r="EJ13" s="33">
        <v>0.8</v>
      </c>
      <c r="EK13" s="33">
        <v>5</v>
      </c>
      <c r="EL13" s="33" t="s">
        <v>144</v>
      </c>
      <c r="EM13" s="33" t="s">
        <v>144</v>
      </c>
      <c r="EN13" s="33" t="s">
        <v>144</v>
      </c>
      <c r="EO13" s="33" t="s">
        <v>144</v>
      </c>
      <c r="EP13" s="33">
        <v>0.8</v>
      </c>
      <c r="EQ13" s="33">
        <v>598.20000000000005</v>
      </c>
      <c r="EU13" s="33">
        <v>110</v>
      </c>
      <c r="EV13" s="33">
        <v>70</v>
      </c>
      <c r="EW13" s="33">
        <v>89</v>
      </c>
      <c r="EX13" s="33">
        <v>107</v>
      </c>
      <c r="EY13" s="33">
        <v>4.2</v>
      </c>
      <c r="EZ13" s="33" t="s">
        <v>144</v>
      </c>
      <c r="FA13" s="33" t="s">
        <v>144</v>
      </c>
      <c r="FB13" s="33">
        <v>0.7</v>
      </c>
      <c r="FC13" s="33">
        <v>624</v>
      </c>
      <c r="FG13" s="33">
        <v>112</v>
      </c>
      <c r="FH13" s="33">
        <v>72</v>
      </c>
      <c r="FI13" s="33">
        <v>88</v>
      </c>
      <c r="FJ13" s="33">
        <v>107</v>
      </c>
      <c r="FK13" s="33">
        <v>3.4</v>
      </c>
      <c r="FL13" s="33" t="s">
        <v>144</v>
      </c>
      <c r="FM13" s="33" t="s">
        <v>144</v>
      </c>
      <c r="FN13" s="33">
        <v>0.9</v>
      </c>
      <c r="FO13" s="33">
        <v>741</v>
      </c>
      <c r="FS13" s="33">
        <v>117</v>
      </c>
      <c r="FT13" s="33">
        <v>79</v>
      </c>
      <c r="FU13" s="33">
        <v>97</v>
      </c>
      <c r="FV13" s="33">
        <v>110</v>
      </c>
      <c r="FW13" s="33">
        <v>3.5</v>
      </c>
      <c r="GE13" s="33">
        <v>0.8</v>
      </c>
      <c r="GF13" s="33">
        <v>724.35</v>
      </c>
      <c r="GJ13" s="33">
        <v>115</v>
      </c>
      <c r="GK13" s="33">
        <v>74</v>
      </c>
      <c r="GL13" s="33">
        <v>91</v>
      </c>
      <c r="GM13" s="33">
        <v>110</v>
      </c>
      <c r="GN13" s="33">
        <v>3.5</v>
      </c>
      <c r="GQ13" s="33">
        <v>0.7</v>
      </c>
      <c r="GR13" s="33">
        <v>712.41</v>
      </c>
      <c r="GV13" s="33">
        <v>116</v>
      </c>
      <c r="GW13" s="33">
        <v>75</v>
      </c>
      <c r="GX13" s="33">
        <v>91</v>
      </c>
      <c r="GY13" s="33">
        <v>109</v>
      </c>
      <c r="GZ13" s="33">
        <v>3.5</v>
      </c>
      <c r="HA13" s="33" t="s">
        <v>144</v>
      </c>
      <c r="HB13" s="33" t="s">
        <v>144</v>
      </c>
      <c r="HC13" s="33">
        <v>0.7</v>
      </c>
      <c r="HD13" s="33">
        <v>742.18</v>
      </c>
      <c r="HK13" s="33">
        <f>FC13-EQ13</f>
        <v>25.799999999999955</v>
      </c>
      <c r="HL13" s="36">
        <f>HK13/EQ13</f>
        <v>4.3129388164493403E-2</v>
      </c>
      <c r="HM13" s="33">
        <f>GF13-FO13</f>
        <v>-16.649999999999977</v>
      </c>
      <c r="HN13" s="36">
        <f>HM13/FO13</f>
        <v>-2.2469635627530335E-2</v>
      </c>
      <c r="HO13" s="37">
        <f>HM13-HK13</f>
        <v>-42.449999999999932</v>
      </c>
      <c r="HP13" s="33">
        <f>HD13-FO13</f>
        <v>1.17999999999995</v>
      </c>
      <c r="HQ13" s="36">
        <f>HP13/FO13</f>
        <v>1.5924426450741565E-3</v>
      </c>
      <c r="HR13" s="33">
        <f>HD13-GF13</f>
        <v>17.829999999999927</v>
      </c>
      <c r="HS13" s="33">
        <f>EY13-ED13</f>
        <v>0.70000000000000018</v>
      </c>
      <c r="HT13" s="38">
        <f>(HS13/ED13)*100</f>
        <v>20.000000000000004</v>
      </c>
      <c r="HU13" s="33">
        <f>FW13-FK13</f>
        <v>0.10000000000000009</v>
      </c>
      <c r="HV13" s="38">
        <f>(HU13/FK13)*100</f>
        <v>2.9411764705882382</v>
      </c>
    </row>
    <row r="17" spans="3:188" x14ac:dyDescent="0.35">
      <c r="C17">
        <f>MEDIAN(C3:C12)</f>
        <v>74.5</v>
      </c>
      <c r="D17">
        <f t="shared" ref="D17:G17" si="7">MEDIAN(D3:D12)</f>
        <v>60</v>
      </c>
      <c r="E17">
        <f t="shared" si="7"/>
        <v>167</v>
      </c>
      <c r="F17">
        <f t="shared" si="7"/>
        <v>1.67</v>
      </c>
      <c r="G17">
        <f t="shared" si="7"/>
        <v>21.30394857667585</v>
      </c>
      <c r="J17">
        <f t="shared" ref="J17" si="8">MEDIAN(J3:J12)</f>
        <v>43</v>
      </c>
      <c r="AT17">
        <f t="shared" ref="AT17" si="9">MEDIAN(AT3:AT12)</f>
        <v>8</v>
      </c>
      <c r="BY17">
        <f t="shared" ref="BY17" si="10">MEDIAN(BY3:BY12)</f>
        <v>18</v>
      </c>
      <c r="CX17">
        <f t="shared" ref="CX17" si="11">MEDIAN(CX3:CX12)</f>
        <v>1.2</v>
      </c>
      <c r="DH17">
        <f t="shared" ref="DH17" si="12">MEDIAN(DH3:DH12)</f>
        <v>1250</v>
      </c>
      <c r="DK17">
        <f t="shared" ref="DK17" si="13">MEDIAN(DK3:DK12)</f>
        <v>0.49000000000000005</v>
      </c>
      <c r="DU17">
        <f t="shared" ref="DU17:DV17" si="14">MEDIAN(DU3:DU12)</f>
        <v>74</v>
      </c>
      <c r="DV17">
        <f t="shared" si="14"/>
        <v>101.5</v>
      </c>
      <c r="ED17">
        <f t="shared" ref="ED17" si="15">MEDIAN(ED3:ED12)</f>
        <v>6</v>
      </c>
      <c r="EP17">
        <f>MEDIAN(EP3:EP12)</f>
        <v>2.4699999999999998</v>
      </c>
      <c r="EQ17">
        <f>MEDIAN(EQ3:EQ12)</f>
        <v>90.425000000000011</v>
      </c>
      <c r="EW17">
        <f>MEDIAN(EW3:EW12)</f>
        <v>81.5</v>
      </c>
      <c r="EX17">
        <f t="shared" ref="EX17:EY17" si="16">MEDIAN(EX3:EX12)</f>
        <v>99</v>
      </c>
      <c r="EY17">
        <f t="shared" si="16"/>
        <v>7</v>
      </c>
      <c r="FB17">
        <f t="shared" ref="FB17:FC17" si="17">MEDIAN(FB3:FB12)</f>
        <v>2.79</v>
      </c>
      <c r="FC17">
        <f t="shared" si="17"/>
        <v>81.56</v>
      </c>
      <c r="FI17">
        <f t="shared" ref="FI17:FK17" si="18">MEDIAN(FI3:FI12)</f>
        <v>83</v>
      </c>
      <c r="FJ17">
        <f t="shared" si="18"/>
        <v>96</v>
      </c>
      <c r="FK17">
        <f t="shared" si="18"/>
        <v>6</v>
      </c>
      <c r="FN17">
        <f t="shared" ref="FN17:FO17" si="19">MEDIAN(FN3:FN12)</f>
        <v>2.1</v>
      </c>
      <c r="FO17">
        <f t="shared" si="19"/>
        <v>91.954999999999998</v>
      </c>
      <c r="FU17">
        <f t="shared" ref="FU17:FW17" si="20">MEDIAN(FU3:FU12)</f>
        <v>82</v>
      </c>
      <c r="FV17">
        <f t="shared" si="20"/>
        <v>96.5</v>
      </c>
      <c r="FW17">
        <f t="shared" si="20"/>
        <v>7.2</v>
      </c>
      <c r="GE17">
        <f t="shared" ref="GE17:GF17" si="21">MEDIAN(GE3:GE12)</f>
        <v>1.9899999999999998</v>
      </c>
      <c r="GF17">
        <f t="shared" si="21"/>
        <v>85.34</v>
      </c>
    </row>
    <row r="18" spans="3:188" x14ac:dyDescent="0.35">
      <c r="C18">
        <f>_xlfn.QUARTILE.INC(C3:C12,1)</f>
        <v>63.75</v>
      </c>
      <c r="D18">
        <f t="shared" ref="D18:G18" si="22">_xlfn.QUARTILE.INC(D3:D12,1)</f>
        <v>58</v>
      </c>
      <c r="E18">
        <f t="shared" si="22"/>
        <v>165</v>
      </c>
      <c r="F18">
        <f t="shared" si="22"/>
        <v>1.65</v>
      </c>
      <c r="G18">
        <f t="shared" si="22"/>
        <v>19.921874999999996</v>
      </c>
      <c r="J18">
        <f t="shared" ref="J18" si="23">_xlfn.QUARTILE.INC(J3:J12,1)</f>
        <v>38</v>
      </c>
      <c r="AT18">
        <f t="shared" ref="AT18" si="24">_xlfn.QUARTILE.INC(AT3:AT12,1)</f>
        <v>4.75</v>
      </c>
      <c r="BY18">
        <f t="shared" ref="BY18" si="25">_xlfn.QUARTILE.INC(BY3:BY12,1)</f>
        <v>15.5</v>
      </c>
      <c r="CX18">
        <f t="shared" ref="CX18" si="26">_xlfn.QUARTILE.INC(CX3:CX12,1)</f>
        <v>0.9</v>
      </c>
      <c r="DH18">
        <f t="shared" ref="DH18" si="27">_xlfn.QUARTILE.INC(DH3:DH12,1)</f>
        <v>1000</v>
      </c>
      <c r="DK18">
        <f t="shared" ref="DK18" si="28">_xlfn.QUARTILE.INC(DK3:DK12,1)</f>
        <v>0.16749999999999998</v>
      </c>
      <c r="DU18">
        <f t="shared" ref="DU18:DV18" si="29">_xlfn.QUARTILE.INC(DU3:DU12,1)</f>
        <v>67.75</v>
      </c>
      <c r="DV18">
        <f t="shared" si="29"/>
        <v>80.5</v>
      </c>
      <c r="ED18">
        <f t="shared" ref="ED18" si="30">_xlfn.QUARTILE.INC(ED3:ED12,1)</f>
        <v>3.3</v>
      </c>
      <c r="EP18">
        <f t="shared" ref="EP18:EQ18" si="31">_xlfn.QUARTILE.INC(EP3:EP12,1)</f>
        <v>1.3125</v>
      </c>
      <c r="EQ18">
        <f t="shared" si="31"/>
        <v>23.515000000000001</v>
      </c>
      <c r="EW18">
        <f t="shared" ref="EW18:EY18" si="32">_xlfn.QUARTILE.INC(EW3:EW12,1)</f>
        <v>68.5</v>
      </c>
      <c r="EX18">
        <f t="shared" si="32"/>
        <v>77</v>
      </c>
      <c r="EY18">
        <f t="shared" si="32"/>
        <v>7</v>
      </c>
      <c r="FB18">
        <f t="shared" ref="FB18:FC18" si="33">_xlfn.QUARTILE.INC(FB3:FB12,1)</f>
        <v>1.855</v>
      </c>
      <c r="FC18">
        <f t="shared" si="33"/>
        <v>19.1325</v>
      </c>
      <c r="FI18">
        <f t="shared" ref="FI18:FK18" si="34">_xlfn.QUARTILE.INC(FI3:FI12,1)</f>
        <v>68.5</v>
      </c>
      <c r="FJ18">
        <f t="shared" si="34"/>
        <v>77</v>
      </c>
      <c r="FK18">
        <f t="shared" si="34"/>
        <v>5.85</v>
      </c>
      <c r="FN18">
        <f t="shared" ref="FN18:FO18" si="35">_xlfn.QUARTILE.INC(FN3:FN12,1)</f>
        <v>1.2</v>
      </c>
      <c r="FO18">
        <f t="shared" si="35"/>
        <v>21.650000000000002</v>
      </c>
      <c r="FU18">
        <f t="shared" ref="FU18:FW18" si="36">_xlfn.QUARTILE.INC(FU3:FU12,1)</f>
        <v>70.25</v>
      </c>
      <c r="FV18">
        <f t="shared" si="36"/>
        <v>73.5</v>
      </c>
      <c r="FW18">
        <f t="shared" si="36"/>
        <v>7.05</v>
      </c>
      <c r="GE18">
        <f t="shared" ref="GE18:GF18" si="37">_xlfn.QUARTILE.INC(GE3:GE12,1)</f>
        <v>1.5</v>
      </c>
      <c r="GF18">
        <f t="shared" si="37"/>
        <v>21.792499999999997</v>
      </c>
    </row>
    <row r="19" spans="3:188" x14ac:dyDescent="0.35">
      <c r="C19">
        <f>_xlfn.QUARTILE.INC(C3:C12,3)</f>
        <v>75.75</v>
      </c>
      <c r="D19">
        <f t="shared" ref="D19:G19" si="38">_xlfn.QUARTILE.INC(D3:D12,3)</f>
        <v>64</v>
      </c>
      <c r="E19">
        <f t="shared" si="38"/>
        <v>174.5</v>
      </c>
      <c r="F19">
        <f t="shared" si="38"/>
        <v>1.7450000000000001</v>
      </c>
      <c r="G19">
        <f t="shared" si="38"/>
        <v>25.315454293738377</v>
      </c>
      <c r="J19">
        <f t="shared" ref="J19" si="39">_xlfn.QUARTILE.INC(J3:J12,3)</f>
        <v>53</v>
      </c>
      <c r="AT19">
        <f t="shared" ref="AT19" si="40">_xlfn.QUARTILE.INC(AT3:AT12,3)</f>
        <v>10.75</v>
      </c>
      <c r="BY19">
        <f t="shared" ref="BY19" si="41">_xlfn.QUARTILE.INC(BY3:BY12,3)</f>
        <v>45.5</v>
      </c>
      <c r="CX19">
        <f t="shared" ref="CX19" si="42">_xlfn.QUARTILE.INC(CX3:CX12,3)</f>
        <v>1.25</v>
      </c>
      <c r="DH19">
        <f t="shared" ref="DH19" si="43">_xlfn.QUARTILE.INC(DH3:DH12,3)</f>
        <v>1875</v>
      </c>
      <c r="DK19">
        <f t="shared" ref="DK19" si="44">_xlfn.QUARTILE.INC(DK3:DK12,3)</f>
        <v>0.82500000000000007</v>
      </c>
      <c r="DU19">
        <f t="shared" ref="DU19:DV19" si="45">_xlfn.QUARTILE.INC(DU3:DU12,3)</f>
        <v>79.5</v>
      </c>
      <c r="DV19">
        <f t="shared" si="45"/>
        <v>107.75</v>
      </c>
      <c r="ED19">
        <f t="shared" ref="ED19" si="46">_xlfn.QUARTILE.INC(ED3:ED12,3)</f>
        <v>6.6</v>
      </c>
      <c r="EP19">
        <f t="shared" ref="EP19:EQ19" si="47">_xlfn.QUARTILE.INC(EP3:EP12,3)</f>
        <v>3.7075</v>
      </c>
      <c r="EQ19">
        <f t="shared" si="47"/>
        <v>168.94750000000002</v>
      </c>
      <c r="EW19">
        <f t="shared" ref="EW19:EY19" si="48">_xlfn.QUARTILE.INC(EW3:EW12,3)</f>
        <v>92.5</v>
      </c>
      <c r="EX19">
        <f t="shared" si="48"/>
        <v>107.5</v>
      </c>
      <c r="EY19">
        <f t="shared" si="48"/>
        <v>7.4499999999999993</v>
      </c>
      <c r="FB19">
        <f t="shared" ref="FB19:FC19" si="49">_xlfn.QUARTILE.INC(FB3:FB12,3)</f>
        <v>3.8975</v>
      </c>
      <c r="FC19">
        <f t="shared" si="49"/>
        <v>157.32</v>
      </c>
      <c r="FI19">
        <f t="shared" ref="FI19:FK19" si="50">_xlfn.QUARTILE.INC(FI3:FI12,3)</f>
        <v>90.75</v>
      </c>
      <c r="FJ19">
        <f t="shared" si="50"/>
        <v>106</v>
      </c>
      <c r="FK19">
        <f t="shared" si="50"/>
        <v>6.75</v>
      </c>
      <c r="FN19">
        <f t="shared" ref="FN19:FO19" si="51">_xlfn.QUARTILE.INC(FN3:FN12,3)</f>
        <v>3.9</v>
      </c>
      <c r="FO19">
        <f t="shared" si="51"/>
        <v>124.5625</v>
      </c>
      <c r="FU19">
        <f t="shared" ref="FU19:FW19" si="52">_xlfn.QUARTILE.INC(FU3:FU12,3)</f>
        <v>86.25</v>
      </c>
      <c r="FV19">
        <f t="shared" si="52"/>
        <v>107.25</v>
      </c>
      <c r="FW19">
        <f t="shared" si="52"/>
        <v>7.875</v>
      </c>
      <c r="GE19">
        <f t="shared" ref="GE19:GF19" si="53">_xlfn.QUARTILE.INC(GE3:GE12,3)</f>
        <v>3.2625000000000002</v>
      </c>
      <c r="GF19">
        <f t="shared" si="53"/>
        <v>119.24249999999999</v>
      </c>
    </row>
    <row r="20" spans="3:188" x14ac:dyDescent="0.35">
      <c r="H20">
        <f>COUNTIF(H3:H12,1)</f>
        <v>4</v>
      </c>
      <c r="I20">
        <f>COUNTIF(I3:I12,1)</f>
        <v>6</v>
      </c>
      <c r="DI20">
        <f>COUNTIF(DI3:DI12,1)</f>
        <v>6</v>
      </c>
      <c r="DL20">
        <f>COUNTIF(DL3:DL12,1)</f>
        <v>4</v>
      </c>
      <c r="DX20">
        <f>COUNTIF(DX3:DX12,1)</f>
        <v>3</v>
      </c>
      <c r="DY20">
        <f t="shared" ref="DY20:DZ20" si="54">COUNTIF(DY3:DY12,1)</f>
        <v>2</v>
      </c>
      <c r="DZ20">
        <f t="shared" si="54"/>
        <v>5</v>
      </c>
    </row>
    <row r="21" spans="3:188" x14ac:dyDescent="0.35">
      <c r="H21">
        <f>COUNT(H3:H12)</f>
        <v>10</v>
      </c>
      <c r="I21">
        <f>COUNT(I3:I12)</f>
        <v>10</v>
      </c>
      <c r="DI21">
        <f>COUNT(DI3:DI12)</f>
        <v>10</v>
      </c>
      <c r="DL21">
        <f>COUNT(DL3:DL12)</f>
        <v>10</v>
      </c>
      <c r="DX21">
        <f>COUNT(DX3:DX12)</f>
        <v>10</v>
      </c>
      <c r="DY21">
        <f t="shared" ref="DY21:DZ21" si="55">COUNT(DY3:DY12)</f>
        <v>10</v>
      </c>
      <c r="DZ21">
        <f t="shared" si="55"/>
        <v>10</v>
      </c>
    </row>
    <row r="22" spans="3:188" x14ac:dyDescent="0.35">
      <c r="H22" s="16">
        <f>H20/H21</f>
        <v>0.4</v>
      </c>
      <c r="I22" s="16">
        <f>I20/I21</f>
        <v>0.6</v>
      </c>
      <c r="J22" s="16"/>
      <c r="DI22" s="16">
        <f>DI20/DI21</f>
        <v>0.6</v>
      </c>
      <c r="DL22" s="16">
        <f>DL20/DL21</f>
        <v>0.4</v>
      </c>
      <c r="DX22" s="16">
        <f>DX20/DX21</f>
        <v>0.3</v>
      </c>
    </row>
  </sheetData>
  <autoFilter ref="A2:HV2" xr:uid="{00000000-0001-0000-0300-000000000000}"/>
  <mergeCells count="6">
    <mergeCell ref="GV1:HG1"/>
    <mergeCell ref="DK1:ET1"/>
    <mergeCell ref="EU1:FF1"/>
    <mergeCell ref="FG1:FR1"/>
    <mergeCell ref="FS1:GI1"/>
    <mergeCell ref="GJ1:G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X36"/>
  <sheetViews>
    <sheetView zoomScale="70" zoomScaleNormal="70" workbookViewId="0">
      <pane xSplit="8810" ySplit="9010" topLeftCell="HD28"/>
      <selection activeCell="A20" sqref="A20:XFD20"/>
      <selection pane="topRight" activeCell="GN20" sqref="GN20"/>
      <selection pane="bottomLeft" activeCell="D32" sqref="D32"/>
      <selection pane="bottomRight" activeCell="EG26" sqref="EG26"/>
    </sheetView>
  </sheetViews>
  <sheetFormatPr baseColWidth="10" defaultRowHeight="14.5" x14ac:dyDescent="0.35"/>
  <cols>
    <col min="1" max="1" width="23.1796875" bestFit="1" customWidth="1"/>
    <col min="3" max="3" width="29.1796875" bestFit="1" customWidth="1"/>
    <col min="4" max="4" width="11.453125" style="31"/>
    <col min="47" max="47" width="25.453125" bestFit="1" customWidth="1"/>
    <col min="77" max="77" width="21" bestFit="1" customWidth="1"/>
    <col min="78" max="78" width="33.54296875" bestFit="1" customWidth="1"/>
    <col min="80" max="80" width="22.453125" bestFit="1" customWidth="1"/>
    <col min="111" max="111" width="55.453125" bestFit="1" customWidth="1"/>
    <col min="129" max="129" width="26.81640625" bestFit="1" customWidth="1"/>
    <col min="134" max="134" width="19.1796875" bestFit="1" customWidth="1"/>
    <col min="135" max="135" width="30" bestFit="1" customWidth="1"/>
    <col min="225" max="225" width="39.26953125" bestFit="1" customWidth="1"/>
    <col min="226" max="226" width="23.453125" bestFit="1" customWidth="1"/>
    <col min="227" max="227" width="19.26953125" customWidth="1"/>
  </cols>
  <sheetData>
    <row r="1" spans="1:232" x14ac:dyDescent="0.35">
      <c r="DL1" s="41" t="s">
        <v>257</v>
      </c>
      <c r="DM1" s="41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2"/>
      <c r="EV1" s="43" t="s">
        <v>258</v>
      </c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5" t="s">
        <v>259</v>
      </c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7" t="s">
        <v>260</v>
      </c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8" t="s">
        <v>265</v>
      </c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39" t="s">
        <v>266</v>
      </c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</row>
    <row r="2" spans="1:232" x14ac:dyDescent="0.35">
      <c r="A2" s="4" t="s">
        <v>0</v>
      </c>
      <c r="B2" s="4" t="s">
        <v>1</v>
      </c>
      <c r="C2" s="4" t="s">
        <v>2</v>
      </c>
      <c r="D2" s="30" t="s">
        <v>404</v>
      </c>
      <c r="E2" s="5" t="s">
        <v>3</v>
      </c>
      <c r="F2" s="5" t="s">
        <v>4</v>
      </c>
      <c r="G2" s="5" t="s">
        <v>5</v>
      </c>
      <c r="H2" s="5"/>
      <c r="I2" s="5" t="s">
        <v>6</v>
      </c>
      <c r="J2" s="5" t="s">
        <v>7</v>
      </c>
      <c r="K2" s="5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16</v>
      </c>
      <c r="T2" s="6" t="s">
        <v>17</v>
      </c>
      <c r="U2" s="6" t="s">
        <v>18</v>
      </c>
      <c r="V2" s="6" t="s">
        <v>19</v>
      </c>
      <c r="W2" s="6" t="s">
        <v>20</v>
      </c>
      <c r="X2" s="6" t="s">
        <v>21</v>
      </c>
      <c r="Y2" s="6" t="s">
        <v>22</v>
      </c>
      <c r="Z2" s="6" t="s">
        <v>23</v>
      </c>
      <c r="AA2" s="6" t="s">
        <v>24</v>
      </c>
      <c r="AB2" s="6" t="s">
        <v>25</v>
      </c>
      <c r="AC2" s="6" t="s">
        <v>26</v>
      </c>
      <c r="AD2" s="6" t="s">
        <v>27</v>
      </c>
      <c r="AE2" s="6" t="s">
        <v>28</v>
      </c>
      <c r="AF2" s="6" t="s">
        <v>29</v>
      </c>
      <c r="AG2" s="6" t="s">
        <v>30</v>
      </c>
      <c r="AH2" s="6" t="s">
        <v>31</v>
      </c>
      <c r="AI2" s="6" t="s">
        <v>32</v>
      </c>
      <c r="AJ2" s="6" t="s">
        <v>33</v>
      </c>
      <c r="AK2" s="6" t="s">
        <v>34</v>
      </c>
      <c r="AL2" s="7" t="s">
        <v>35</v>
      </c>
      <c r="AM2" s="7" t="s">
        <v>36</v>
      </c>
      <c r="AN2" s="7"/>
      <c r="AO2" s="7" t="s">
        <v>37</v>
      </c>
      <c r="AP2" s="7" t="s">
        <v>38</v>
      </c>
      <c r="AQ2" s="7" t="s">
        <v>39</v>
      </c>
      <c r="AR2" s="7" t="s">
        <v>40</v>
      </c>
      <c r="AS2" s="7" t="s">
        <v>41</v>
      </c>
      <c r="AT2" s="7" t="s">
        <v>42</v>
      </c>
      <c r="AU2" s="7" t="s">
        <v>43</v>
      </c>
      <c r="AV2" s="7" t="s">
        <v>44</v>
      </c>
      <c r="AW2" s="7" t="s">
        <v>45</v>
      </c>
      <c r="AX2" s="7" t="s">
        <v>46</v>
      </c>
      <c r="AY2" s="7" t="s">
        <v>47</v>
      </c>
      <c r="AZ2" s="7" t="s">
        <v>48</v>
      </c>
      <c r="BA2" s="7" t="s">
        <v>49</v>
      </c>
      <c r="BB2" s="6" t="s">
        <v>50</v>
      </c>
      <c r="BC2" s="6" t="s">
        <v>70</v>
      </c>
      <c r="BD2" s="6" t="s">
        <v>51</v>
      </c>
      <c r="BE2" s="6" t="s">
        <v>71</v>
      </c>
      <c r="BF2" s="6" t="s">
        <v>72</v>
      </c>
      <c r="BG2" s="6" t="s">
        <v>73</v>
      </c>
      <c r="BH2" s="6" t="s">
        <v>74</v>
      </c>
      <c r="BI2" s="6" t="s">
        <v>75</v>
      </c>
      <c r="BJ2" s="6" t="s">
        <v>76</v>
      </c>
      <c r="BK2" s="6" t="s">
        <v>77</v>
      </c>
      <c r="BL2" s="6" t="s">
        <v>78</v>
      </c>
      <c r="BM2" s="6" t="s">
        <v>79</v>
      </c>
      <c r="BN2" s="6" t="s">
        <v>80</v>
      </c>
      <c r="BO2" s="6" t="s">
        <v>81</v>
      </c>
      <c r="BP2" s="6" t="s">
        <v>82</v>
      </c>
      <c r="BQ2" s="6" t="s">
        <v>83</v>
      </c>
      <c r="BR2" s="6" t="s">
        <v>84</v>
      </c>
      <c r="BS2" s="6" t="s">
        <v>85</v>
      </c>
      <c r="BT2" s="6" t="s">
        <v>86</v>
      </c>
      <c r="BU2" s="6" t="s">
        <v>87</v>
      </c>
      <c r="BV2" s="6" t="s">
        <v>88</v>
      </c>
      <c r="BW2" s="6" t="s">
        <v>89</v>
      </c>
      <c r="BX2" s="6" t="s">
        <v>90</v>
      </c>
      <c r="BY2" s="14" t="s">
        <v>147</v>
      </c>
      <c r="BZ2" s="14" t="s">
        <v>148</v>
      </c>
      <c r="CA2" s="14" t="s">
        <v>149</v>
      </c>
      <c r="CB2" s="14" t="s">
        <v>150</v>
      </c>
      <c r="CC2" s="14" t="s">
        <v>44</v>
      </c>
      <c r="CD2" s="14" t="s">
        <v>45</v>
      </c>
      <c r="CE2" s="14" t="s">
        <v>46</v>
      </c>
      <c r="CF2" s="14" t="s">
        <v>47</v>
      </c>
      <c r="CG2" s="14" t="s">
        <v>48</v>
      </c>
      <c r="CH2" s="14" t="s">
        <v>69</v>
      </c>
      <c r="CI2" s="14" t="s">
        <v>145</v>
      </c>
      <c r="CJ2" s="14" t="s">
        <v>151</v>
      </c>
      <c r="CK2" s="14" t="s">
        <v>152</v>
      </c>
      <c r="CL2" s="14" t="s">
        <v>153</v>
      </c>
      <c r="CM2" s="14" t="s">
        <v>154</v>
      </c>
      <c r="CN2" s="14" t="s">
        <v>155</v>
      </c>
      <c r="CO2" s="14" t="s">
        <v>156</v>
      </c>
      <c r="CP2" s="14" t="s">
        <v>157</v>
      </c>
      <c r="CQ2" s="14" t="s">
        <v>158</v>
      </c>
      <c r="CR2" s="14" t="s">
        <v>159</v>
      </c>
      <c r="CS2" s="14" t="s">
        <v>160</v>
      </c>
      <c r="CT2" s="14" t="s">
        <v>161</v>
      </c>
      <c r="CU2" s="14" t="s">
        <v>162</v>
      </c>
      <c r="CV2" s="14" t="s">
        <v>163</v>
      </c>
      <c r="CW2" s="14" t="s">
        <v>164</v>
      </c>
      <c r="CX2" s="14" t="s">
        <v>165</v>
      </c>
      <c r="CY2" s="14" t="s">
        <v>174</v>
      </c>
      <c r="CZ2" s="14" t="s">
        <v>166</v>
      </c>
      <c r="DA2" s="14" t="s">
        <v>167</v>
      </c>
      <c r="DB2" s="14" t="s">
        <v>168</v>
      </c>
      <c r="DC2" s="14" t="s">
        <v>169</v>
      </c>
      <c r="DD2" s="14" t="s">
        <v>170</v>
      </c>
      <c r="DE2" s="14" t="s">
        <v>171</v>
      </c>
      <c r="DF2" s="14" t="s">
        <v>175</v>
      </c>
      <c r="DG2" s="8" t="s">
        <v>92</v>
      </c>
      <c r="DH2" s="8" t="s">
        <v>91</v>
      </c>
      <c r="DI2" s="9" t="s">
        <v>255</v>
      </c>
      <c r="DJ2" s="9"/>
      <c r="DK2" s="9" t="s">
        <v>256</v>
      </c>
      <c r="DL2" s="10" t="s">
        <v>52</v>
      </c>
      <c r="DM2" s="10"/>
      <c r="DN2" s="10" t="s">
        <v>53</v>
      </c>
      <c r="DO2" s="10" t="s">
        <v>54</v>
      </c>
      <c r="DP2" s="10" t="s">
        <v>55</v>
      </c>
      <c r="DQ2" s="10" t="s">
        <v>56</v>
      </c>
      <c r="DR2" s="10" t="s">
        <v>57</v>
      </c>
      <c r="DS2" s="10" t="s">
        <v>58</v>
      </c>
      <c r="DT2" s="10" t="s">
        <v>93</v>
      </c>
      <c r="DU2" s="10" t="s">
        <v>94</v>
      </c>
      <c r="DV2" s="10" t="s">
        <v>95</v>
      </c>
      <c r="DW2" s="10" t="s">
        <v>96</v>
      </c>
      <c r="DX2" s="10" t="s">
        <v>97</v>
      </c>
      <c r="DY2" s="10" t="s">
        <v>98</v>
      </c>
      <c r="DZ2" s="10" t="s">
        <v>99</v>
      </c>
      <c r="EA2" s="10" t="s">
        <v>100</v>
      </c>
      <c r="EB2" s="10" t="s">
        <v>101</v>
      </c>
      <c r="EC2" s="10" t="s">
        <v>102</v>
      </c>
      <c r="ED2" s="10" t="s">
        <v>103</v>
      </c>
      <c r="EE2" s="10" t="s">
        <v>104</v>
      </c>
      <c r="EF2" s="10" t="s">
        <v>105</v>
      </c>
      <c r="EG2" s="10" t="s">
        <v>106</v>
      </c>
      <c r="EH2" s="10" t="s">
        <v>107</v>
      </c>
      <c r="EI2" s="10" t="s">
        <v>108</v>
      </c>
      <c r="EJ2" s="10" t="s">
        <v>109</v>
      </c>
      <c r="EK2" s="10" t="s">
        <v>110</v>
      </c>
      <c r="EL2" s="10" t="s">
        <v>111</v>
      </c>
      <c r="EM2" s="10" t="s">
        <v>112</v>
      </c>
      <c r="EN2" s="10" t="s">
        <v>118</v>
      </c>
      <c r="EO2" s="10" t="s">
        <v>119</v>
      </c>
      <c r="EP2" s="10" t="s">
        <v>113</v>
      </c>
      <c r="EQ2" s="10" t="s">
        <v>114</v>
      </c>
      <c r="ER2" s="10" t="s">
        <v>115</v>
      </c>
      <c r="ES2" s="10" t="s">
        <v>116</v>
      </c>
      <c r="ET2" s="10" t="s">
        <v>117</v>
      </c>
      <c r="EU2" s="10" t="s">
        <v>120</v>
      </c>
      <c r="EV2" s="5" t="s">
        <v>122</v>
      </c>
      <c r="EW2" s="5" t="s">
        <v>121</v>
      </c>
      <c r="EX2" s="5" t="s">
        <v>59</v>
      </c>
      <c r="EY2" s="5" t="s">
        <v>60</v>
      </c>
      <c r="EZ2" s="5" t="s">
        <v>61</v>
      </c>
      <c r="FA2" s="5" t="s">
        <v>62</v>
      </c>
      <c r="FB2" s="5" t="s">
        <v>63</v>
      </c>
      <c r="FC2" s="5" t="s">
        <v>64</v>
      </c>
      <c r="FD2" s="5" t="s">
        <v>65</v>
      </c>
      <c r="FE2" s="5" t="s">
        <v>66</v>
      </c>
      <c r="FF2" s="5" t="s">
        <v>67</v>
      </c>
      <c r="FG2" s="5" t="s">
        <v>68</v>
      </c>
      <c r="FH2" s="13" t="s">
        <v>123</v>
      </c>
      <c r="FI2" s="13" t="s">
        <v>124</v>
      </c>
      <c r="FJ2" s="13" t="s">
        <v>125</v>
      </c>
      <c r="FK2" s="13" t="s">
        <v>126</v>
      </c>
      <c r="FL2" s="13" t="s">
        <v>127</v>
      </c>
      <c r="FM2" s="13" t="s">
        <v>128</v>
      </c>
      <c r="FN2" s="13" t="s">
        <v>63</v>
      </c>
      <c r="FO2" s="13" t="s">
        <v>129</v>
      </c>
      <c r="FP2" s="13" t="s">
        <v>130</v>
      </c>
      <c r="FQ2" s="13" t="s">
        <v>66</v>
      </c>
      <c r="FR2" s="13" t="s">
        <v>67</v>
      </c>
      <c r="FS2" s="13" t="s">
        <v>68</v>
      </c>
      <c r="FT2" s="12" t="s">
        <v>131</v>
      </c>
      <c r="FU2" s="12" t="s">
        <v>132</v>
      </c>
      <c r="FV2" s="12" t="s">
        <v>133</v>
      </c>
      <c r="FW2" s="12" t="s">
        <v>134</v>
      </c>
      <c r="FX2" s="12" t="s">
        <v>135</v>
      </c>
      <c r="FY2" s="12" t="s">
        <v>30</v>
      </c>
      <c r="FZ2" s="12" t="s">
        <v>261</v>
      </c>
      <c r="GA2" s="12" t="s">
        <v>262</v>
      </c>
      <c r="GB2" s="12" t="s">
        <v>263</v>
      </c>
      <c r="GC2" s="12" t="s">
        <v>264</v>
      </c>
      <c r="GD2" s="12" t="s">
        <v>136</v>
      </c>
      <c r="GE2" s="12" t="s">
        <v>63</v>
      </c>
      <c r="GF2" s="12" t="s">
        <v>137</v>
      </c>
      <c r="GG2" s="12" t="s">
        <v>138</v>
      </c>
      <c r="GH2" s="12" t="s">
        <v>139</v>
      </c>
      <c r="GI2" s="12" t="s">
        <v>140</v>
      </c>
      <c r="GJ2" s="12" t="s">
        <v>141</v>
      </c>
      <c r="GK2" s="11" t="s">
        <v>269</v>
      </c>
      <c r="GL2" s="11" t="s">
        <v>270</v>
      </c>
      <c r="GM2" s="11" t="s">
        <v>271</v>
      </c>
      <c r="GN2" s="11" t="s">
        <v>272</v>
      </c>
      <c r="GO2" s="11" t="s">
        <v>61</v>
      </c>
      <c r="GP2" s="11" t="s">
        <v>273</v>
      </c>
      <c r="GQ2" s="11" t="s">
        <v>63</v>
      </c>
      <c r="GR2" s="11" t="s">
        <v>274</v>
      </c>
      <c r="GS2" s="11" t="s">
        <v>275</v>
      </c>
      <c r="GT2" s="11" t="s">
        <v>66</v>
      </c>
      <c r="GU2" s="11" t="s">
        <v>67</v>
      </c>
      <c r="GV2" s="11" t="s">
        <v>68</v>
      </c>
      <c r="GW2" s="15" t="s">
        <v>276</v>
      </c>
      <c r="GX2" s="15" t="s">
        <v>270</v>
      </c>
      <c r="GY2" s="15" t="s">
        <v>271</v>
      </c>
      <c r="GZ2" s="15" t="s">
        <v>60</v>
      </c>
      <c r="HA2" s="15" t="s">
        <v>61</v>
      </c>
      <c r="HB2" s="15" t="s">
        <v>273</v>
      </c>
      <c r="HC2" s="15" t="s">
        <v>63</v>
      </c>
      <c r="HD2" s="15" t="s">
        <v>64</v>
      </c>
      <c r="HE2" s="15" t="s">
        <v>130</v>
      </c>
      <c r="HF2" s="15" t="s">
        <v>66</v>
      </c>
      <c r="HG2" s="15" t="s">
        <v>67</v>
      </c>
      <c r="HH2" s="15" t="s">
        <v>68</v>
      </c>
      <c r="HI2" s="4" t="s">
        <v>278</v>
      </c>
      <c r="HJ2" s="4" t="s">
        <v>277</v>
      </c>
      <c r="HK2" s="4" t="s">
        <v>177</v>
      </c>
      <c r="HL2" s="4" t="s">
        <v>324</v>
      </c>
      <c r="HM2" s="4" t="s">
        <v>334</v>
      </c>
      <c r="HN2" s="4" t="s">
        <v>325</v>
      </c>
      <c r="HO2" s="4" t="s">
        <v>334</v>
      </c>
      <c r="HP2" s="4" t="s">
        <v>391</v>
      </c>
      <c r="HQ2" s="4" t="s">
        <v>332</v>
      </c>
      <c r="HR2" s="4" t="s">
        <v>334</v>
      </c>
      <c r="HS2" s="4" t="s">
        <v>333</v>
      </c>
      <c r="HT2" s="4" t="s">
        <v>392</v>
      </c>
      <c r="HU2" s="4" t="s">
        <v>393</v>
      </c>
      <c r="HV2" s="4" t="s">
        <v>394</v>
      </c>
      <c r="HW2" s="4" t="s">
        <v>395</v>
      </c>
      <c r="HX2" s="4" t="s">
        <v>386</v>
      </c>
    </row>
    <row r="3" spans="1:232" x14ac:dyDescent="0.35">
      <c r="A3" t="s">
        <v>368</v>
      </c>
      <c r="B3" t="s">
        <v>369</v>
      </c>
      <c r="C3" s="3">
        <v>23769</v>
      </c>
      <c r="D3" s="31">
        <v>31</v>
      </c>
      <c r="E3">
        <v>52</v>
      </c>
      <c r="F3">
        <v>62.5</v>
      </c>
      <c r="G3">
        <v>167</v>
      </c>
      <c r="H3">
        <f t="shared" ref="H3:H18" si="0">G3/100</f>
        <v>1.67</v>
      </c>
      <c r="I3">
        <f t="shared" ref="I3:I18" si="1">F3/(H3*H3)</f>
        <v>22.410269281795692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60</v>
      </c>
      <c r="AH3">
        <v>0</v>
      </c>
      <c r="AI3">
        <v>0</v>
      </c>
      <c r="AJ3">
        <v>1</v>
      </c>
      <c r="AK3">
        <v>0</v>
      </c>
      <c r="AL3" s="3">
        <v>45214</v>
      </c>
      <c r="AM3" t="s">
        <v>350</v>
      </c>
      <c r="AO3">
        <v>1</v>
      </c>
      <c r="AP3">
        <v>0</v>
      </c>
      <c r="AQ3">
        <v>0</v>
      </c>
      <c r="AR3">
        <v>0</v>
      </c>
      <c r="AS3">
        <v>0</v>
      </c>
      <c r="AU3">
        <v>1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12.57</v>
      </c>
      <c r="BC3">
        <v>15.8</v>
      </c>
      <c r="BD3">
        <v>193</v>
      </c>
      <c r="BE3">
        <v>64</v>
      </c>
      <c r="BF3">
        <v>5</v>
      </c>
      <c r="BG3">
        <v>64</v>
      </c>
      <c r="BH3">
        <v>121</v>
      </c>
      <c r="BI3">
        <v>91</v>
      </c>
      <c r="BJ3">
        <v>13</v>
      </c>
      <c r="BL3">
        <v>6.9</v>
      </c>
      <c r="BN3">
        <v>7.53</v>
      </c>
      <c r="BO3">
        <v>130</v>
      </c>
      <c r="BP3">
        <v>25</v>
      </c>
      <c r="BQ3">
        <v>21</v>
      </c>
      <c r="BR3">
        <v>1</v>
      </c>
      <c r="BU3">
        <v>69</v>
      </c>
      <c r="BV3">
        <v>59</v>
      </c>
      <c r="BW3">
        <v>736</v>
      </c>
      <c r="BX3">
        <v>36</v>
      </c>
      <c r="BY3" s="3">
        <v>45215</v>
      </c>
      <c r="BZ3">
        <v>17</v>
      </c>
      <c r="CA3">
        <v>62.5</v>
      </c>
      <c r="CB3">
        <v>1</v>
      </c>
      <c r="CC3">
        <v>0</v>
      </c>
      <c r="CD3">
        <v>0</v>
      </c>
      <c r="CE3">
        <v>1</v>
      </c>
      <c r="CF3">
        <v>0</v>
      </c>
      <c r="CG3">
        <v>0</v>
      </c>
      <c r="CH3">
        <v>0</v>
      </c>
      <c r="CI3">
        <v>8.4</v>
      </c>
      <c r="CJ3">
        <v>13.8</v>
      </c>
      <c r="CK3">
        <v>134</v>
      </c>
      <c r="CL3">
        <v>64</v>
      </c>
      <c r="CM3">
        <v>5</v>
      </c>
      <c r="CN3">
        <v>64</v>
      </c>
      <c r="CO3">
        <v>121</v>
      </c>
      <c r="CP3">
        <v>91</v>
      </c>
      <c r="DB3">
        <v>59</v>
      </c>
      <c r="DC3">
        <v>69</v>
      </c>
      <c r="DD3">
        <v>736</v>
      </c>
      <c r="DE3">
        <v>36</v>
      </c>
      <c r="DF3">
        <v>2</v>
      </c>
      <c r="DG3">
        <v>1</v>
      </c>
      <c r="DH3">
        <v>500</v>
      </c>
      <c r="DJ3">
        <v>0</v>
      </c>
      <c r="DK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120</v>
      </c>
      <c r="DU3">
        <v>82</v>
      </c>
      <c r="DV3">
        <v>92</v>
      </c>
      <c r="DW3">
        <v>129</v>
      </c>
      <c r="DX3">
        <v>36.5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P3">
        <v>0</v>
      </c>
      <c r="EQ3">
        <v>1.3</v>
      </c>
      <c r="ER3">
        <v>157.56</v>
      </c>
      <c r="EV3">
        <v>123</v>
      </c>
      <c r="EW3">
        <v>73</v>
      </c>
      <c r="EX3">
        <v>89</v>
      </c>
      <c r="EY3">
        <v>131</v>
      </c>
      <c r="FC3">
        <v>1.1000000000000001</v>
      </c>
      <c r="FD3">
        <v>263.67</v>
      </c>
      <c r="FH3">
        <v>135</v>
      </c>
      <c r="FI3">
        <v>74</v>
      </c>
      <c r="FJ3">
        <v>88</v>
      </c>
      <c r="FK3">
        <v>133</v>
      </c>
      <c r="FO3">
        <v>1.2</v>
      </c>
      <c r="FP3">
        <v>172.38</v>
      </c>
      <c r="FT3">
        <v>98</v>
      </c>
      <c r="FU3">
        <v>58</v>
      </c>
      <c r="FV3">
        <v>70</v>
      </c>
      <c r="FW3">
        <v>124</v>
      </c>
      <c r="GE3">
        <v>0</v>
      </c>
      <c r="GF3">
        <v>1.05</v>
      </c>
      <c r="GG3">
        <v>212.18</v>
      </c>
      <c r="GW3">
        <v>101</v>
      </c>
      <c r="GX3">
        <v>59</v>
      </c>
      <c r="GY3">
        <v>74</v>
      </c>
      <c r="GZ3">
        <v>128</v>
      </c>
      <c r="HD3">
        <v>0.9</v>
      </c>
      <c r="HE3">
        <v>185.7</v>
      </c>
      <c r="HL3">
        <f t="shared" ref="HL3:HL18" si="2">FD3-ER3</f>
        <v>106.11000000000001</v>
      </c>
      <c r="HM3" s="16">
        <f t="shared" ref="HM3:HM18" si="3">HL3/ER3</f>
        <v>0.67345773038842349</v>
      </c>
      <c r="HN3">
        <f t="shared" ref="HN3:HN17" si="4">GG3-FP3</f>
        <v>39.800000000000011</v>
      </c>
      <c r="HO3" s="16">
        <f t="shared" ref="HO3:HO17" si="5">HN3/FP3</f>
        <v>0.23088525350968797</v>
      </c>
      <c r="HP3" s="26">
        <f t="shared" ref="HP3:HP18" si="6">HN3-HL3</f>
        <v>-66.31</v>
      </c>
      <c r="HQ3">
        <f>HE3-FP3</f>
        <v>13.319999999999993</v>
      </c>
      <c r="HU3" s="28"/>
      <c r="HW3" s="28"/>
      <c r="HX3">
        <v>6894</v>
      </c>
    </row>
    <row r="4" spans="1:232" x14ac:dyDescent="0.35">
      <c r="A4" t="s">
        <v>329</v>
      </c>
      <c r="B4" t="s">
        <v>330</v>
      </c>
      <c r="C4" s="3">
        <v>17333</v>
      </c>
      <c r="D4" s="31">
        <v>63</v>
      </c>
      <c r="E4">
        <v>76</v>
      </c>
      <c r="F4">
        <v>113.5</v>
      </c>
      <c r="G4">
        <v>175</v>
      </c>
      <c r="H4">
        <f t="shared" si="0"/>
        <v>1.75</v>
      </c>
      <c r="I4">
        <f t="shared" si="1"/>
        <v>37.061224489795919</v>
      </c>
      <c r="J4">
        <v>0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144</v>
      </c>
      <c r="AL4" s="3">
        <v>45141</v>
      </c>
      <c r="AM4" t="s">
        <v>38</v>
      </c>
      <c r="AO4">
        <v>1</v>
      </c>
      <c r="AP4">
        <v>1</v>
      </c>
      <c r="AQ4">
        <v>0</v>
      </c>
      <c r="AR4">
        <v>0</v>
      </c>
      <c r="AS4">
        <v>0</v>
      </c>
      <c r="AT4">
        <v>63</v>
      </c>
      <c r="AU4">
        <v>11</v>
      </c>
      <c r="AV4">
        <v>4</v>
      </c>
      <c r="AW4">
        <v>0</v>
      </c>
      <c r="AX4">
        <v>1</v>
      </c>
      <c r="AY4">
        <v>3</v>
      </c>
      <c r="AZ4">
        <v>0</v>
      </c>
      <c r="BA4">
        <v>3</v>
      </c>
      <c r="BB4">
        <v>8.6</v>
      </c>
      <c r="BC4">
        <v>11.8</v>
      </c>
      <c r="BD4">
        <v>30</v>
      </c>
      <c r="BE4">
        <v>49</v>
      </c>
      <c r="BF4">
        <v>29</v>
      </c>
      <c r="BG4">
        <v>437</v>
      </c>
      <c r="BH4">
        <v>140</v>
      </c>
      <c r="BI4">
        <v>109</v>
      </c>
      <c r="BJ4">
        <v>7</v>
      </c>
      <c r="BK4">
        <v>168</v>
      </c>
      <c r="BM4">
        <v>17.600000000000001</v>
      </c>
      <c r="BN4">
        <v>7.36</v>
      </c>
      <c r="BO4">
        <v>76</v>
      </c>
      <c r="BP4">
        <v>17</v>
      </c>
      <c r="BQ4">
        <v>10</v>
      </c>
      <c r="BR4">
        <v>3.8</v>
      </c>
      <c r="BS4">
        <v>57</v>
      </c>
      <c r="BT4">
        <v>53</v>
      </c>
      <c r="BU4">
        <v>29</v>
      </c>
      <c r="BV4">
        <v>18</v>
      </c>
      <c r="BW4">
        <v>729</v>
      </c>
      <c r="BX4">
        <v>41</v>
      </c>
      <c r="BY4" s="3">
        <v>45142</v>
      </c>
      <c r="BZ4">
        <v>20</v>
      </c>
      <c r="CA4">
        <v>113.5</v>
      </c>
      <c r="CB4">
        <v>13</v>
      </c>
      <c r="CC4">
        <v>4</v>
      </c>
      <c r="CD4">
        <v>0</v>
      </c>
      <c r="CE4">
        <v>2</v>
      </c>
      <c r="CF4">
        <v>4</v>
      </c>
      <c r="CG4">
        <v>0</v>
      </c>
      <c r="CH4">
        <v>3</v>
      </c>
      <c r="CI4">
        <v>21.3</v>
      </c>
      <c r="CJ4">
        <v>11.6</v>
      </c>
      <c r="CK4">
        <v>52</v>
      </c>
      <c r="CL4">
        <v>43</v>
      </c>
      <c r="CM4">
        <v>20</v>
      </c>
      <c r="CN4">
        <v>325</v>
      </c>
      <c r="CO4">
        <v>141</v>
      </c>
      <c r="CP4">
        <v>105</v>
      </c>
      <c r="CQ4">
        <v>8</v>
      </c>
      <c r="CR4">
        <v>123</v>
      </c>
      <c r="CS4">
        <v>15</v>
      </c>
      <c r="CU4">
        <v>6.92</v>
      </c>
      <c r="CV4">
        <v>166</v>
      </c>
      <c r="CW4">
        <v>42</v>
      </c>
      <c r="CX4">
        <v>10</v>
      </c>
      <c r="CY4">
        <v>18.600000000000001</v>
      </c>
      <c r="DB4">
        <v>25</v>
      </c>
      <c r="DC4">
        <v>18</v>
      </c>
      <c r="DD4">
        <v>781</v>
      </c>
      <c r="DE4">
        <v>38</v>
      </c>
      <c r="DF4">
        <v>1</v>
      </c>
      <c r="DG4">
        <v>2</v>
      </c>
      <c r="DH4">
        <v>100</v>
      </c>
      <c r="DI4">
        <v>1000</v>
      </c>
      <c r="DJ4">
        <v>1</v>
      </c>
      <c r="DK4">
        <v>0</v>
      </c>
      <c r="DL4">
        <v>0.4</v>
      </c>
      <c r="DM4">
        <v>1</v>
      </c>
      <c r="DN4">
        <v>0</v>
      </c>
      <c r="DO4">
        <v>0</v>
      </c>
      <c r="DP4">
        <v>80</v>
      </c>
      <c r="DQ4">
        <v>5</v>
      </c>
      <c r="DR4">
        <v>0</v>
      </c>
      <c r="DS4">
        <v>0</v>
      </c>
      <c r="DT4">
        <v>93</v>
      </c>
      <c r="DU4">
        <v>46</v>
      </c>
      <c r="DV4">
        <v>62</v>
      </c>
      <c r="DW4">
        <v>79</v>
      </c>
      <c r="DX4">
        <v>37.1</v>
      </c>
      <c r="DY4">
        <v>0</v>
      </c>
      <c r="DZ4">
        <v>0</v>
      </c>
      <c r="EA4">
        <v>1</v>
      </c>
      <c r="EB4">
        <v>8</v>
      </c>
      <c r="EC4">
        <v>40</v>
      </c>
      <c r="ED4">
        <v>60</v>
      </c>
      <c r="EE4">
        <v>4.0999999999999996</v>
      </c>
      <c r="EF4">
        <v>50</v>
      </c>
      <c r="EG4">
        <v>20</v>
      </c>
      <c r="EH4">
        <v>0</v>
      </c>
      <c r="EI4">
        <v>0</v>
      </c>
      <c r="EJ4">
        <v>0</v>
      </c>
      <c r="EK4">
        <v>0.9</v>
      </c>
      <c r="EL4">
        <v>6</v>
      </c>
      <c r="EM4">
        <v>5</v>
      </c>
      <c r="EP4">
        <v>0</v>
      </c>
      <c r="EQ4">
        <v>2.4</v>
      </c>
      <c r="ER4">
        <v>44.42</v>
      </c>
      <c r="ES4">
        <v>7.39</v>
      </c>
      <c r="EV4">
        <v>128</v>
      </c>
      <c r="EW4">
        <v>47</v>
      </c>
      <c r="EX4">
        <v>67</v>
      </c>
      <c r="EY4">
        <v>79</v>
      </c>
      <c r="EZ4">
        <v>5.4</v>
      </c>
      <c r="FA4">
        <v>5</v>
      </c>
      <c r="FB4">
        <v>0</v>
      </c>
      <c r="FC4">
        <v>1.7</v>
      </c>
      <c r="FD4">
        <v>56.28</v>
      </c>
      <c r="FH4">
        <v>106</v>
      </c>
      <c r="FI4">
        <v>51</v>
      </c>
      <c r="FJ4">
        <v>67</v>
      </c>
      <c r="FK4">
        <v>91</v>
      </c>
      <c r="FL4">
        <v>5.2</v>
      </c>
      <c r="FM4">
        <v>5</v>
      </c>
      <c r="FN4">
        <v>0</v>
      </c>
      <c r="FO4">
        <v>2.35</v>
      </c>
      <c r="FP4">
        <v>35.950000000000003</v>
      </c>
      <c r="FT4">
        <v>116</v>
      </c>
      <c r="FU4">
        <v>46</v>
      </c>
      <c r="FV4">
        <v>64</v>
      </c>
      <c r="FW4">
        <v>80</v>
      </c>
      <c r="FX4">
        <v>5.0999999999999996</v>
      </c>
      <c r="GD4">
        <v>5</v>
      </c>
      <c r="GE4">
        <v>0</v>
      </c>
      <c r="GF4">
        <v>2.2999999999999998</v>
      </c>
      <c r="GG4">
        <v>49.9</v>
      </c>
      <c r="GH4">
        <v>13.6</v>
      </c>
      <c r="GK4">
        <v>114</v>
      </c>
      <c r="GL4">
        <v>50</v>
      </c>
      <c r="GM4">
        <v>68</v>
      </c>
      <c r="GN4">
        <v>78</v>
      </c>
      <c r="GP4">
        <v>5</v>
      </c>
      <c r="GQ4">
        <v>0</v>
      </c>
      <c r="GR4">
        <v>2.9</v>
      </c>
      <c r="GS4">
        <v>40.200000000000003</v>
      </c>
      <c r="GW4">
        <v>99</v>
      </c>
      <c r="GX4">
        <v>52</v>
      </c>
      <c r="GY4">
        <v>66</v>
      </c>
      <c r="GZ4">
        <v>85</v>
      </c>
      <c r="HC4">
        <v>0</v>
      </c>
      <c r="HD4">
        <v>3.1</v>
      </c>
      <c r="HE4">
        <v>30.43</v>
      </c>
      <c r="HL4">
        <f t="shared" si="2"/>
        <v>11.86</v>
      </c>
      <c r="HM4" s="16">
        <f t="shared" si="3"/>
        <v>0.26699684826654657</v>
      </c>
      <c r="HN4">
        <f t="shared" si="4"/>
        <v>13.949999999999996</v>
      </c>
      <c r="HO4" s="16">
        <f t="shared" si="5"/>
        <v>0.38803894297635588</v>
      </c>
      <c r="HP4" s="26">
        <f t="shared" si="6"/>
        <v>2.0899999999999963</v>
      </c>
      <c r="HR4" s="16">
        <f>HQ4/FP4</f>
        <v>0</v>
      </c>
      <c r="HS4">
        <f>HE4-GG4</f>
        <v>-19.47</v>
      </c>
      <c r="HT4">
        <f>EZ4-EE4</f>
        <v>1.3000000000000007</v>
      </c>
      <c r="HU4" s="28">
        <f>(HT4/EE4)*100</f>
        <v>31.707317073170753</v>
      </c>
      <c r="HV4">
        <f>FX4-FL4</f>
        <v>-0.10000000000000053</v>
      </c>
      <c r="HW4" s="28">
        <f>(HV4/FL4)*100</f>
        <v>-1.9230769230769333</v>
      </c>
    </row>
    <row r="5" spans="1:232" x14ac:dyDescent="0.35">
      <c r="A5" t="s">
        <v>142</v>
      </c>
      <c r="B5" t="s">
        <v>143</v>
      </c>
      <c r="C5" s="3">
        <v>26819</v>
      </c>
      <c r="D5" s="31">
        <v>22</v>
      </c>
      <c r="E5">
        <v>49</v>
      </c>
      <c r="F5">
        <v>55</v>
      </c>
      <c r="G5">
        <v>161</v>
      </c>
      <c r="H5">
        <f t="shared" si="0"/>
        <v>1.61</v>
      </c>
      <c r="I5">
        <f t="shared" si="1"/>
        <v>21.218317194552675</v>
      </c>
      <c r="J5">
        <v>0</v>
      </c>
      <c r="K5">
        <v>1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144</v>
      </c>
      <c r="AH5">
        <v>0</v>
      </c>
      <c r="AI5">
        <v>0</v>
      </c>
      <c r="AJ5">
        <v>0</v>
      </c>
      <c r="AK5">
        <v>0</v>
      </c>
      <c r="AL5" s="3">
        <v>44957</v>
      </c>
      <c r="AM5" t="s">
        <v>172</v>
      </c>
      <c r="AO5">
        <v>1</v>
      </c>
      <c r="AP5">
        <v>0</v>
      </c>
      <c r="AQ5">
        <v>0</v>
      </c>
      <c r="AR5">
        <v>0</v>
      </c>
      <c r="AS5">
        <v>0</v>
      </c>
      <c r="AT5">
        <v>15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8.1</v>
      </c>
      <c r="BC5">
        <v>8.3000000000000007</v>
      </c>
      <c r="BD5">
        <v>547</v>
      </c>
      <c r="BE5">
        <v>73</v>
      </c>
      <c r="BF5">
        <v>3.9</v>
      </c>
      <c r="BG5">
        <v>48</v>
      </c>
      <c r="BH5">
        <v>129</v>
      </c>
      <c r="BI5">
        <v>98</v>
      </c>
      <c r="BJ5">
        <v>23</v>
      </c>
      <c r="BK5">
        <v>102</v>
      </c>
      <c r="BL5" t="s">
        <v>144</v>
      </c>
      <c r="BM5" t="s">
        <v>144</v>
      </c>
      <c r="BN5" t="s">
        <v>144</v>
      </c>
      <c r="BO5" t="s">
        <v>144</v>
      </c>
      <c r="BP5" t="s">
        <v>144</v>
      </c>
      <c r="BQ5">
        <v>24</v>
      </c>
      <c r="BR5" t="s">
        <v>144</v>
      </c>
      <c r="BS5">
        <v>78</v>
      </c>
      <c r="BT5">
        <v>76</v>
      </c>
      <c r="BU5">
        <v>45</v>
      </c>
      <c r="BV5">
        <v>41</v>
      </c>
      <c r="BW5">
        <v>436</v>
      </c>
      <c r="BX5">
        <v>84</v>
      </c>
      <c r="BY5" s="3">
        <v>44958</v>
      </c>
      <c r="BZ5">
        <v>17</v>
      </c>
      <c r="CA5">
        <v>55</v>
      </c>
      <c r="CB5">
        <v>1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26.55</v>
      </c>
      <c r="CJ5">
        <v>7.6</v>
      </c>
      <c r="CK5">
        <v>629</v>
      </c>
      <c r="CL5">
        <v>79</v>
      </c>
      <c r="CM5">
        <v>4.4000000000000004</v>
      </c>
      <c r="CN5">
        <v>46</v>
      </c>
      <c r="CO5">
        <v>131</v>
      </c>
      <c r="CP5">
        <v>99</v>
      </c>
      <c r="CQ5">
        <v>30</v>
      </c>
      <c r="CR5">
        <v>102</v>
      </c>
      <c r="CS5" t="s">
        <v>144</v>
      </c>
      <c r="CT5">
        <v>16.7</v>
      </c>
      <c r="CU5">
        <v>7.39</v>
      </c>
      <c r="CV5">
        <v>84</v>
      </c>
      <c r="CW5">
        <v>33</v>
      </c>
      <c r="CX5">
        <v>20</v>
      </c>
      <c r="CY5">
        <v>2.4</v>
      </c>
      <c r="CZ5">
        <v>72</v>
      </c>
      <c r="DA5" t="s">
        <v>144</v>
      </c>
      <c r="DB5">
        <v>62</v>
      </c>
      <c r="DC5">
        <v>37</v>
      </c>
      <c r="DD5">
        <v>576</v>
      </c>
      <c r="DE5">
        <v>1416</v>
      </c>
      <c r="DF5">
        <v>3</v>
      </c>
      <c r="DG5">
        <v>2</v>
      </c>
      <c r="DH5">
        <v>100</v>
      </c>
      <c r="DI5">
        <v>2250</v>
      </c>
      <c r="DJ5">
        <v>1</v>
      </c>
      <c r="DK5">
        <v>1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151</v>
      </c>
      <c r="DU5">
        <v>91</v>
      </c>
      <c r="DV5">
        <v>108</v>
      </c>
      <c r="DW5">
        <v>134</v>
      </c>
      <c r="DX5">
        <v>36.799999999999997</v>
      </c>
      <c r="DY5">
        <v>1</v>
      </c>
      <c r="DZ5">
        <v>0</v>
      </c>
      <c r="EA5">
        <v>0</v>
      </c>
      <c r="EB5" t="s">
        <v>176</v>
      </c>
      <c r="EC5" t="s">
        <v>176</v>
      </c>
      <c r="ED5">
        <v>0</v>
      </c>
      <c r="EE5">
        <v>6.1</v>
      </c>
      <c r="EF5">
        <v>60</v>
      </c>
      <c r="EG5">
        <v>9</v>
      </c>
      <c r="EH5">
        <v>50</v>
      </c>
      <c r="EI5">
        <v>0</v>
      </c>
      <c r="EJ5">
        <v>0</v>
      </c>
      <c r="EK5">
        <v>0.8</v>
      </c>
      <c r="EL5">
        <v>7.2</v>
      </c>
      <c r="EM5" t="s">
        <v>144</v>
      </c>
      <c r="EN5" t="s">
        <v>144</v>
      </c>
      <c r="EO5" t="s">
        <v>144</v>
      </c>
      <c r="EP5">
        <v>1</v>
      </c>
      <c r="EQ5">
        <v>2.29</v>
      </c>
      <c r="ER5">
        <v>29.24</v>
      </c>
      <c r="ES5">
        <v>3.93</v>
      </c>
      <c r="ET5">
        <v>24.23</v>
      </c>
      <c r="EU5">
        <v>53.04</v>
      </c>
      <c r="EV5">
        <v>150</v>
      </c>
      <c r="EW5">
        <v>88</v>
      </c>
      <c r="EX5">
        <v>109</v>
      </c>
      <c r="EY5">
        <v>134</v>
      </c>
      <c r="EZ5">
        <v>7.1</v>
      </c>
      <c r="FA5" t="s">
        <v>144</v>
      </c>
      <c r="FB5">
        <v>1</v>
      </c>
      <c r="FC5">
        <v>2.19</v>
      </c>
      <c r="FD5">
        <v>35.119999999999997</v>
      </c>
      <c r="FE5">
        <v>3.48</v>
      </c>
      <c r="FF5">
        <v>26.89</v>
      </c>
      <c r="FG5">
        <v>54.57</v>
      </c>
      <c r="FH5">
        <v>162</v>
      </c>
      <c r="FI5">
        <v>101</v>
      </c>
      <c r="FJ5">
        <v>121</v>
      </c>
      <c r="FK5">
        <v>135</v>
      </c>
      <c r="FL5">
        <v>6.1</v>
      </c>
      <c r="FM5" t="s">
        <v>144</v>
      </c>
      <c r="FN5">
        <v>1</v>
      </c>
      <c r="FO5">
        <v>2.25</v>
      </c>
      <c r="FP5">
        <v>34.57</v>
      </c>
      <c r="FQ5">
        <v>4.92</v>
      </c>
      <c r="FR5">
        <v>27.44</v>
      </c>
      <c r="FS5">
        <v>67.319999999999993</v>
      </c>
      <c r="FT5">
        <v>163</v>
      </c>
      <c r="FU5">
        <v>98</v>
      </c>
      <c r="FV5">
        <v>116</v>
      </c>
      <c r="FW5">
        <v>133</v>
      </c>
      <c r="FX5">
        <v>5.9</v>
      </c>
      <c r="GD5" t="s">
        <v>144</v>
      </c>
      <c r="GE5">
        <v>0</v>
      </c>
      <c r="GF5">
        <v>2.12</v>
      </c>
      <c r="GG5">
        <v>53.32</v>
      </c>
      <c r="GH5">
        <v>2.92</v>
      </c>
      <c r="GI5">
        <v>46.02</v>
      </c>
      <c r="GJ5">
        <v>68.88</v>
      </c>
      <c r="HL5">
        <f t="shared" si="2"/>
        <v>5.879999999999999</v>
      </c>
      <c r="HM5" s="16">
        <f t="shared" si="3"/>
        <v>0.20109439124487002</v>
      </c>
      <c r="HN5">
        <f t="shared" si="4"/>
        <v>18.75</v>
      </c>
      <c r="HO5" s="16">
        <f t="shared" si="5"/>
        <v>0.54237778420595895</v>
      </c>
      <c r="HP5" s="26">
        <f t="shared" si="6"/>
        <v>12.870000000000001</v>
      </c>
      <c r="HR5" s="16"/>
      <c r="HT5">
        <f>EZ5-EE5</f>
        <v>1</v>
      </c>
      <c r="HU5" s="28">
        <f>(HT5/EE5)*100</f>
        <v>16.393442622950822</v>
      </c>
      <c r="HV5">
        <f>FX5-FL5</f>
        <v>-0.19999999999999929</v>
      </c>
      <c r="HW5" s="28">
        <f>(HV5/FL5)*100</f>
        <v>-3.2786885245901525</v>
      </c>
    </row>
    <row r="6" spans="1:232" x14ac:dyDescent="0.35">
      <c r="A6" t="s">
        <v>183</v>
      </c>
      <c r="B6" t="s">
        <v>184</v>
      </c>
      <c r="C6" s="3">
        <v>28579</v>
      </c>
      <c r="D6" s="31">
        <v>45</v>
      </c>
      <c r="E6">
        <v>28</v>
      </c>
      <c r="F6">
        <v>75</v>
      </c>
      <c r="G6">
        <v>173</v>
      </c>
      <c r="H6">
        <f t="shared" si="0"/>
        <v>1.73</v>
      </c>
      <c r="I6">
        <f t="shared" si="1"/>
        <v>25.059307026629689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 t="s">
        <v>144</v>
      </c>
      <c r="AH6">
        <v>0</v>
      </c>
      <c r="AI6">
        <v>0</v>
      </c>
      <c r="AJ6">
        <v>0</v>
      </c>
      <c r="AK6">
        <v>0</v>
      </c>
      <c r="AL6" s="3">
        <v>44980</v>
      </c>
      <c r="AM6" t="s">
        <v>185</v>
      </c>
      <c r="AO6">
        <v>0</v>
      </c>
      <c r="AP6">
        <v>0</v>
      </c>
      <c r="AQ6">
        <v>0</v>
      </c>
      <c r="AR6">
        <v>0</v>
      </c>
      <c r="AS6">
        <v>0</v>
      </c>
      <c r="AT6">
        <v>43</v>
      </c>
      <c r="AU6">
        <v>8</v>
      </c>
      <c r="AV6">
        <v>4</v>
      </c>
      <c r="AW6">
        <v>0</v>
      </c>
      <c r="AX6">
        <v>4</v>
      </c>
      <c r="AY6">
        <v>0</v>
      </c>
      <c r="AZ6">
        <v>0</v>
      </c>
      <c r="BA6">
        <v>0</v>
      </c>
      <c r="BB6">
        <v>6.21</v>
      </c>
      <c r="BC6">
        <v>10.3</v>
      </c>
      <c r="BD6">
        <v>316</v>
      </c>
      <c r="BE6">
        <v>79</v>
      </c>
      <c r="BF6">
        <v>3.6</v>
      </c>
      <c r="BG6">
        <v>60</v>
      </c>
      <c r="BH6">
        <v>140</v>
      </c>
      <c r="BI6">
        <v>106</v>
      </c>
      <c r="BJ6">
        <v>9</v>
      </c>
      <c r="BK6">
        <v>7</v>
      </c>
      <c r="BL6">
        <v>0.03</v>
      </c>
      <c r="BM6">
        <v>32</v>
      </c>
      <c r="BN6">
        <v>7.52</v>
      </c>
      <c r="BO6">
        <v>77</v>
      </c>
      <c r="BP6">
        <v>35</v>
      </c>
      <c r="BQ6">
        <v>29</v>
      </c>
      <c r="BR6">
        <v>1.3</v>
      </c>
      <c r="BS6">
        <v>100</v>
      </c>
      <c r="BT6" t="s">
        <v>144</v>
      </c>
      <c r="BU6">
        <v>40</v>
      </c>
      <c r="BV6">
        <v>27</v>
      </c>
      <c r="BW6">
        <v>455</v>
      </c>
      <c r="BX6">
        <v>111</v>
      </c>
      <c r="BY6" s="3">
        <v>44981</v>
      </c>
      <c r="BZ6">
        <v>12</v>
      </c>
      <c r="CA6">
        <v>75</v>
      </c>
      <c r="CB6">
        <v>4</v>
      </c>
      <c r="CC6">
        <v>0</v>
      </c>
      <c r="CD6">
        <v>0</v>
      </c>
      <c r="CE6">
        <v>4</v>
      </c>
      <c r="CF6">
        <v>0</v>
      </c>
      <c r="CG6">
        <v>0</v>
      </c>
      <c r="CH6">
        <v>0</v>
      </c>
      <c r="CI6">
        <v>3.6</v>
      </c>
      <c r="CJ6">
        <v>9.5</v>
      </c>
      <c r="CK6">
        <v>313</v>
      </c>
      <c r="CL6">
        <v>68</v>
      </c>
      <c r="CM6">
        <v>5.2</v>
      </c>
      <c r="CN6">
        <v>79</v>
      </c>
      <c r="CO6">
        <v>139</v>
      </c>
      <c r="CP6">
        <v>107</v>
      </c>
      <c r="CQ6" t="s">
        <v>144</v>
      </c>
      <c r="CR6" t="s">
        <v>144</v>
      </c>
      <c r="CS6" t="s">
        <v>144</v>
      </c>
      <c r="CT6" t="s">
        <v>144</v>
      </c>
      <c r="CU6">
        <v>7.61</v>
      </c>
      <c r="CV6">
        <v>95</v>
      </c>
      <c r="CW6">
        <v>24</v>
      </c>
      <c r="CX6">
        <v>24</v>
      </c>
      <c r="CY6">
        <v>1.9</v>
      </c>
      <c r="CZ6" t="s">
        <v>144</v>
      </c>
      <c r="DA6" t="s">
        <v>144</v>
      </c>
      <c r="DB6" t="s">
        <v>144</v>
      </c>
      <c r="DC6" t="s">
        <v>144</v>
      </c>
      <c r="DD6" t="s">
        <v>144</v>
      </c>
      <c r="DE6" t="s">
        <v>144</v>
      </c>
      <c r="DF6">
        <v>2</v>
      </c>
      <c r="DG6">
        <v>1</v>
      </c>
      <c r="DH6">
        <v>500</v>
      </c>
      <c r="DI6">
        <v>1500</v>
      </c>
      <c r="DJ6">
        <v>1</v>
      </c>
      <c r="DK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89</v>
      </c>
      <c r="DU6">
        <v>74</v>
      </c>
      <c r="DV6">
        <v>80</v>
      </c>
      <c r="DW6">
        <v>81</v>
      </c>
      <c r="DX6">
        <v>35.5</v>
      </c>
      <c r="DY6">
        <v>0</v>
      </c>
      <c r="DZ6">
        <v>0</v>
      </c>
      <c r="EA6">
        <v>1</v>
      </c>
      <c r="EB6">
        <v>5</v>
      </c>
      <c r="EC6">
        <v>30</v>
      </c>
      <c r="ED6">
        <v>60</v>
      </c>
      <c r="EE6">
        <v>2.8</v>
      </c>
      <c r="EF6">
        <v>50</v>
      </c>
      <c r="EG6">
        <v>15</v>
      </c>
      <c r="EH6">
        <v>50</v>
      </c>
      <c r="EI6">
        <v>0</v>
      </c>
      <c r="EJ6">
        <v>0</v>
      </c>
      <c r="EK6" t="s">
        <v>144</v>
      </c>
      <c r="EL6" t="s">
        <v>144</v>
      </c>
      <c r="EM6" t="s">
        <v>144</v>
      </c>
      <c r="EN6" t="s">
        <v>144</v>
      </c>
      <c r="EO6" t="s">
        <v>144</v>
      </c>
      <c r="EP6" t="s">
        <v>144</v>
      </c>
      <c r="EQ6">
        <v>3.38</v>
      </c>
      <c r="ER6">
        <v>10.039999999999999</v>
      </c>
      <c r="ES6">
        <v>2.58</v>
      </c>
      <c r="ET6">
        <v>5.8</v>
      </c>
      <c r="EU6">
        <v>15.98</v>
      </c>
      <c r="EV6" s="2">
        <v>99</v>
      </c>
      <c r="EW6" s="2">
        <v>76</v>
      </c>
      <c r="EX6" s="2">
        <v>84</v>
      </c>
      <c r="EY6" s="2">
        <v>73</v>
      </c>
      <c r="EZ6" s="2">
        <v>2.8</v>
      </c>
      <c r="FA6" t="s">
        <v>144</v>
      </c>
      <c r="FB6" t="s">
        <v>144</v>
      </c>
      <c r="FC6" s="2">
        <v>3.01</v>
      </c>
      <c r="FD6" s="2">
        <v>12.73</v>
      </c>
      <c r="FE6" s="2">
        <v>7.76</v>
      </c>
      <c r="FF6" s="2">
        <v>4.7</v>
      </c>
      <c r="FG6" s="2">
        <v>54.72</v>
      </c>
      <c r="FH6" s="2">
        <v>88</v>
      </c>
      <c r="FI6" s="2">
        <v>74</v>
      </c>
      <c r="FJ6" s="2">
        <v>81</v>
      </c>
      <c r="FK6" s="2">
        <v>75</v>
      </c>
      <c r="FL6" s="2">
        <v>2.9</v>
      </c>
      <c r="FM6" t="s">
        <v>144</v>
      </c>
      <c r="FN6" t="s">
        <v>144</v>
      </c>
      <c r="FO6" s="2">
        <v>3.59</v>
      </c>
      <c r="FP6" s="2">
        <v>7.62</v>
      </c>
      <c r="FQ6" s="2">
        <v>2.5</v>
      </c>
      <c r="FR6" s="2">
        <v>5</v>
      </c>
      <c r="FS6" s="2">
        <v>18.010000000000002</v>
      </c>
      <c r="FT6" s="2">
        <v>100</v>
      </c>
      <c r="FU6" s="2">
        <v>80</v>
      </c>
      <c r="FV6" s="2">
        <v>88</v>
      </c>
      <c r="FW6" s="2">
        <v>67</v>
      </c>
      <c r="FX6" s="2">
        <v>2.9</v>
      </c>
      <c r="FY6" s="2"/>
      <c r="FZ6" s="2"/>
      <c r="GA6" s="2"/>
      <c r="GB6" s="2"/>
      <c r="GC6" s="2"/>
      <c r="GD6" t="s">
        <v>144</v>
      </c>
      <c r="GE6" t="s">
        <v>144</v>
      </c>
      <c r="GF6" s="2">
        <v>2.39</v>
      </c>
      <c r="GG6" s="2">
        <v>15.02</v>
      </c>
      <c r="GH6" s="2">
        <v>6.36</v>
      </c>
      <c r="GI6" s="2">
        <v>5.43</v>
      </c>
      <c r="GJ6" s="2">
        <v>11.29</v>
      </c>
      <c r="GK6" s="2"/>
      <c r="GL6" s="2"/>
      <c r="HJ6">
        <v>1</v>
      </c>
      <c r="HL6">
        <f t="shared" si="2"/>
        <v>2.6900000000000013</v>
      </c>
      <c r="HM6" s="16">
        <f t="shared" si="3"/>
        <v>0.26792828685258979</v>
      </c>
      <c r="HN6">
        <f t="shared" si="4"/>
        <v>7.3999999999999995</v>
      </c>
      <c r="HO6" s="16">
        <f t="shared" si="5"/>
        <v>0.97112860892388442</v>
      </c>
      <c r="HP6" s="26">
        <f t="shared" si="6"/>
        <v>4.7099999999999982</v>
      </c>
      <c r="HR6" s="16"/>
      <c r="HT6">
        <f>EZ6-EE6</f>
        <v>0</v>
      </c>
      <c r="HU6" s="28">
        <f>(HT6/EE6)*100</f>
        <v>0</v>
      </c>
      <c r="HV6">
        <f>FX6-FL6</f>
        <v>0</v>
      </c>
      <c r="HW6" s="28">
        <f>(HV6/FL6)*100</f>
        <v>0</v>
      </c>
    </row>
    <row r="7" spans="1:232" x14ac:dyDescent="0.35">
      <c r="A7" t="s">
        <v>361</v>
      </c>
      <c r="B7" t="s">
        <v>362</v>
      </c>
      <c r="C7" s="3">
        <v>16750</v>
      </c>
      <c r="D7" s="31">
        <v>40</v>
      </c>
      <c r="E7">
        <v>77</v>
      </c>
      <c r="F7">
        <v>89</v>
      </c>
      <c r="G7">
        <v>187</v>
      </c>
      <c r="H7">
        <f t="shared" si="0"/>
        <v>1.87</v>
      </c>
      <c r="I7">
        <f t="shared" si="1"/>
        <v>25.45111384369012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L7" s="3">
        <v>45184</v>
      </c>
      <c r="AM7" t="s">
        <v>363</v>
      </c>
      <c r="AO7">
        <v>1</v>
      </c>
      <c r="AP7">
        <v>0</v>
      </c>
      <c r="AQ7">
        <v>0</v>
      </c>
      <c r="AR7">
        <v>0</v>
      </c>
      <c r="AS7">
        <v>0</v>
      </c>
      <c r="AU7">
        <v>7</v>
      </c>
      <c r="AV7">
        <v>1</v>
      </c>
      <c r="AW7">
        <v>0</v>
      </c>
      <c r="AX7">
        <v>1</v>
      </c>
      <c r="AY7">
        <v>1</v>
      </c>
      <c r="AZ7">
        <v>4</v>
      </c>
      <c r="BA7">
        <v>0</v>
      </c>
      <c r="BB7">
        <v>31.1</v>
      </c>
      <c r="BC7">
        <v>18.399999999999999</v>
      </c>
      <c r="BD7">
        <v>213</v>
      </c>
      <c r="BE7">
        <v>69</v>
      </c>
      <c r="BF7">
        <v>9.1</v>
      </c>
      <c r="BG7">
        <v>112</v>
      </c>
      <c r="BH7">
        <v>141</v>
      </c>
      <c r="BI7">
        <v>106</v>
      </c>
      <c r="BJ7">
        <v>227</v>
      </c>
      <c r="BK7">
        <v>43</v>
      </c>
      <c r="BN7">
        <v>7.49</v>
      </c>
      <c r="BO7">
        <v>72</v>
      </c>
      <c r="BP7">
        <v>25</v>
      </c>
      <c r="BQ7">
        <v>19</v>
      </c>
      <c r="BR7">
        <v>2.9</v>
      </c>
      <c r="BU7">
        <v>122</v>
      </c>
      <c r="BV7">
        <v>125</v>
      </c>
      <c r="BW7">
        <v>1292</v>
      </c>
      <c r="BX7">
        <v>128</v>
      </c>
      <c r="BY7" s="3">
        <v>45279</v>
      </c>
      <c r="CB7">
        <v>9</v>
      </c>
      <c r="CC7">
        <v>0</v>
      </c>
      <c r="CD7">
        <v>3</v>
      </c>
      <c r="CE7">
        <v>1</v>
      </c>
      <c r="CF7">
        <v>1</v>
      </c>
      <c r="CG7">
        <v>4</v>
      </c>
      <c r="CH7">
        <v>0</v>
      </c>
      <c r="CI7">
        <v>13.6</v>
      </c>
      <c r="CJ7">
        <v>13.1</v>
      </c>
      <c r="CK7">
        <v>213</v>
      </c>
      <c r="CL7">
        <v>61</v>
      </c>
      <c r="CM7">
        <v>17</v>
      </c>
      <c r="CN7">
        <v>166</v>
      </c>
      <c r="CO7">
        <v>145</v>
      </c>
      <c r="CP7">
        <v>112</v>
      </c>
      <c r="CQ7">
        <v>248</v>
      </c>
      <c r="CU7">
        <v>7.42</v>
      </c>
      <c r="CV7">
        <v>148</v>
      </c>
      <c r="CW7">
        <v>32</v>
      </c>
      <c r="CX7">
        <v>21</v>
      </c>
      <c r="CY7">
        <v>1.5</v>
      </c>
      <c r="CZ7">
        <v>59</v>
      </c>
      <c r="DB7">
        <v>77</v>
      </c>
      <c r="DC7">
        <v>80</v>
      </c>
      <c r="DD7">
        <v>1688</v>
      </c>
      <c r="DE7">
        <v>47</v>
      </c>
      <c r="DF7">
        <v>2</v>
      </c>
      <c r="DG7">
        <v>2</v>
      </c>
      <c r="DH7">
        <v>100</v>
      </c>
      <c r="DI7">
        <v>500</v>
      </c>
      <c r="DJ7">
        <v>1</v>
      </c>
      <c r="DK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123</v>
      </c>
      <c r="DU7">
        <v>76</v>
      </c>
      <c r="DV7">
        <v>91</v>
      </c>
      <c r="DW7">
        <v>97</v>
      </c>
      <c r="DX7">
        <v>37.5</v>
      </c>
      <c r="DY7">
        <v>1</v>
      </c>
      <c r="DZ7">
        <v>0</v>
      </c>
      <c r="EA7">
        <v>0</v>
      </c>
      <c r="EB7">
        <v>0</v>
      </c>
      <c r="EC7">
        <v>0</v>
      </c>
      <c r="ED7">
        <v>3</v>
      </c>
      <c r="EP7">
        <v>4</v>
      </c>
      <c r="EQ7">
        <v>2.2999999999999998</v>
      </c>
      <c r="ER7">
        <v>50.55</v>
      </c>
      <c r="ES7">
        <v>11.99</v>
      </c>
      <c r="ET7">
        <v>21</v>
      </c>
      <c r="EU7">
        <v>77</v>
      </c>
      <c r="EV7">
        <v>146</v>
      </c>
      <c r="EW7">
        <v>89</v>
      </c>
      <c r="EX7">
        <v>104</v>
      </c>
      <c r="EY7">
        <v>98</v>
      </c>
      <c r="FC7">
        <v>1.7</v>
      </c>
      <c r="FD7">
        <v>115.54</v>
      </c>
      <c r="FH7">
        <v>118</v>
      </c>
      <c r="FI7">
        <v>73</v>
      </c>
      <c r="FJ7">
        <v>88</v>
      </c>
      <c r="FK7">
        <v>98</v>
      </c>
      <c r="FN7">
        <v>4</v>
      </c>
      <c r="FO7">
        <v>2.1</v>
      </c>
      <c r="FP7">
        <v>16.47</v>
      </c>
      <c r="FT7">
        <v>131</v>
      </c>
      <c r="FU7">
        <v>71</v>
      </c>
      <c r="FV7">
        <v>98</v>
      </c>
      <c r="FW7">
        <v>98</v>
      </c>
      <c r="GE7">
        <v>4</v>
      </c>
      <c r="GF7">
        <v>1.4</v>
      </c>
      <c r="GG7">
        <v>109.23</v>
      </c>
      <c r="GW7">
        <v>131</v>
      </c>
      <c r="GX7">
        <v>71</v>
      </c>
      <c r="GY7">
        <v>98</v>
      </c>
      <c r="GZ7">
        <v>97</v>
      </c>
      <c r="HC7">
        <v>3</v>
      </c>
      <c r="HD7">
        <v>0.6</v>
      </c>
      <c r="HE7">
        <v>176.49</v>
      </c>
      <c r="HF7" t="s">
        <v>364</v>
      </c>
      <c r="HL7">
        <f t="shared" si="2"/>
        <v>64.990000000000009</v>
      </c>
      <c r="HM7" s="16">
        <f t="shared" si="3"/>
        <v>1.2856577645895155</v>
      </c>
      <c r="HN7">
        <f t="shared" si="4"/>
        <v>92.76</v>
      </c>
      <c r="HO7" s="16">
        <f t="shared" si="5"/>
        <v>5.632058287795993</v>
      </c>
      <c r="HP7" s="26">
        <f t="shared" si="6"/>
        <v>27.769999999999996</v>
      </c>
      <c r="HQ7">
        <f>HE7-FP7</f>
        <v>160.02000000000001</v>
      </c>
      <c r="HU7" s="28"/>
      <c r="HW7" s="28"/>
    </row>
    <row r="8" spans="1:232" x14ac:dyDescent="0.35">
      <c r="A8" t="s">
        <v>309</v>
      </c>
      <c r="B8" t="s">
        <v>310</v>
      </c>
      <c r="C8" s="3">
        <v>29207</v>
      </c>
      <c r="D8" s="31">
        <v>75</v>
      </c>
      <c r="E8">
        <v>43</v>
      </c>
      <c r="F8">
        <v>81</v>
      </c>
      <c r="G8">
        <v>160</v>
      </c>
      <c r="H8">
        <f t="shared" si="0"/>
        <v>1.6</v>
      </c>
      <c r="I8">
        <f t="shared" si="1"/>
        <v>31.640624999999993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 t="s">
        <v>311</v>
      </c>
      <c r="AD8">
        <v>0</v>
      </c>
      <c r="AE8">
        <v>0</v>
      </c>
      <c r="AF8">
        <v>0</v>
      </c>
      <c r="AG8" t="s">
        <v>144</v>
      </c>
      <c r="AL8" s="3">
        <v>45134</v>
      </c>
      <c r="AM8" t="s">
        <v>297</v>
      </c>
      <c r="AO8">
        <v>1</v>
      </c>
      <c r="AP8">
        <v>1</v>
      </c>
      <c r="AQ8">
        <v>0</v>
      </c>
      <c r="AR8">
        <v>0</v>
      </c>
      <c r="AS8">
        <v>0</v>
      </c>
      <c r="AU8">
        <v>11</v>
      </c>
      <c r="AV8">
        <v>4</v>
      </c>
      <c r="AW8">
        <v>0</v>
      </c>
      <c r="AX8">
        <v>4</v>
      </c>
      <c r="AY8">
        <v>3</v>
      </c>
      <c r="AZ8">
        <v>0</v>
      </c>
      <c r="BA8">
        <v>0</v>
      </c>
      <c r="BB8">
        <v>10.15</v>
      </c>
      <c r="BC8">
        <v>9.1</v>
      </c>
      <c r="BD8">
        <v>191</v>
      </c>
      <c r="BE8">
        <v>45</v>
      </c>
      <c r="BF8">
        <v>32.700000000000003</v>
      </c>
      <c r="BG8">
        <v>387</v>
      </c>
      <c r="BH8">
        <v>132</v>
      </c>
      <c r="BI8">
        <v>104</v>
      </c>
      <c r="BJ8">
        <v>7</v>
      </c>
      <c r="BK8">
        <v>35</v>
      </c>
      <c r="BL8">
        <v>4</v>
      </c>
      <c r="BM8">
        <v>22.8</v>
      </c>
      <c r="BN8">
        <v>7.15</v>
      </c>
      <c r="BO8">
        <v>226</v>
      </c>
      <c r="BP8">
        <v>20</v>
      </c>
      <c r="BQ8">
        <v>8</v>
      </c>
      <c r="BR8">
        <v>1.9</v>
      </c>
      <c r="BS8">
        <v>70</v>
      </c>
      <c r="BT8">
        <v>181</v>
      </c>
      <c r="BU8">
        <v>25</v>
      </c>
      <c r="BV8">
        <v>52</v>
      </c>
      <c r="BW8">
        <v>1031</v>
      </c>
      <c r="BX8">
        <v>38</v>
      </c>
      <c r="BY8" s="3">
        <v>45139</v>
      </c>
      <c r="CA8">
        <v>92</v>
      </c>
      <c r="CB8">
        <v>10</v>
      </c>
      <c r="CC8">
        <v>1</v>
      </c>
      <c r="CD8">
        <v>0</v>
      </c>
      <c r="CE8">
        <v>4</v>
      </c>
      <c r="CF8">
        <v>2</v>
      </c>
      <c r="CG8">
        <v>0</v>
      </c>
      <c r="CH8">
        <v>3</v>
      </c>
      <c r="CI8">
        <v>3.22</v>
      </c>
      <c r="CJ8">
        <v>9.1</v>
      </c>
      <c r="CK8">
        <v>37</v>
      </c>
      <c r="CL8">
        <v>94</v>
      </c>
      <c r="CM8">
        <v>21</v>
      </c>
      <c r="CN8">
        <v>237</v>
      </c>
      <c r="CO8">
        <v>138</v>
      </c>
      <c r="CP8">
        <v>112</v>
      </c>
      <c r="CQ8">
        <v>7</v>
      </c>
      <c r="CR8" t="s">
        <v>282</v>
      </c>
      <c r="CS8" t="s">
        <v>282</v>
      </c>
      <c r="CT8" t="s">
        <v>282</v>
      </c>
      <c r="CU8">
        <v>7.06</v>
      </c>
      <c r="CV8">
        <v>115</v>
      </c>
      <c r="CW8">
        <v>20</v>
      </c>
      <c r="CX8">
        <v>6</v>
      </c>
      <c r="CY8">
        <v>0.8</v>
      </c>
      <c r="CZ8">
        <v>70</v>
      </c>
      <c r="DA8">
        <v>181</v>
      </c>
      <c r="DB8">
        <v>47</v>
      </c>
      <c r="DC8">
        <v>48</v>
      </c>
      <c r="DD8">
        <v>2862</v>
      </c>
      <c r="DE8">
        <v>252</v>
      </c>
      <c r="DF8">
        <v>1</v>
      </c>
      <c r="DG8">
        <v>2</v>
      </c>
      <c r="DH8">
        <v>100</v>
      </c>
      <c r="DI8">
        <v>1500</v>
      </c>
      <c r="DJ8">
        <v>1</v>
      </c>
      <c r="DK8">
        <v>4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82</v>
      </c>
      <c r="DU8">
        <v>55</v>
      </c>
      <c r="DV8">
        <v>64</v>
      </c>
      <c r="DW8">
        <v>75</v>
      </c>
      <c r="DX8">
        <v>33.799999999999997</v>
      </c>
      <c r="DY8">
        <v>0</v>
      </c>
      <c r="DZ8">
        <v>1</v>
      </c>
      <c r="EA8">
        <v>0</v>
      </c>
      <c r="EB8">
        <v>6</v>
      </c>
      <c r="EC8">
        <v>25</v>
      </c>
      <c r="ED8">
        <v>60</v>
      </c>
      <c r="EE8">
        <v>5</v>
      </c>
      <c r="EF8">
        <v>50</v>
      </c>
      <c r="EG8">
        <v>13</v>
      </c>
      <c r="EH8">
        <v>100</v>
      </c>
      <c r="EI8">
        <v>0</v>
      </c>
      <c r="EJ8">
        <v>0</v>
      </c>
      <c r="EK8">
        <v>1.2</v>
      </c>
      <c r="EL8">
        <v>4.8</v>
      </c>
      <c r="EM8" t="s">
        <v>144</v>
      </c>
      <c r="EN8" t="s">
        <v>144</v>
      </c>
      <c r="EO8" t="s">
        <v>144</v>
      </c>
      <c r="EP8" t="s">
        <v>144</v>
      </c>
      <c r="EQ8">
        <v>1.1000000000000001</v>
      </c>
      <c r="ER8">
        <v>577.9</v>
      </c>
      <c r="ES8">
        <v>39.1</v>
      </c>
      <c r="ET8">
        <v>468.9</v>
      </c>
      <c r="EU8">
        <v>669.9</v>
      </c>
      <c r="EV8">
        <v>80</v>
      </c>
      <c r="EW8">
        <v>53</v>
      </c>
      <c r="EX8">
        <v>62</v>
      </c>
      <c r="EY8">
        <v>76</v>
      </c>
      <c r="EZ8">
        <v>6.3</v>
      </c>
      <c r="FA8" t="s">
        <v>144</v>
      </c>
      <c r="FB8" t="s">
        <v>144</v>
      </c>
      <c r="FC8">
        <v>0.8</v>
      </c>
      <c r="FD8">
        <v>670.3</v>
      </c>
      <c r="FH8">
        <v>83</v>
      </c>
      <c r="FI8">
        <v>49</v>
      </c>
      <c r="FJ8">
        <v>60</v>
      </c>
      <c r="FK8">
        <v>76</v>
      </c>
      <c r="FL8">
        <v>5.3</v>
      </c>
      <c r="FM8" t="s">
        <v>144</v>
      </c>
      <c r="FN8" t="s">
        <v>144</v>
      </c>
      <c r="FO8">
        <v>1.1000000000000001</v>
      </c>
      <c r="FP8">
        <v>589.5</v>
      </c>
      <c r="FT8">
        <v>81</v>
      </c>
      <c r="FU8">
        <v>53</v>
      </c>
      <c r="FV8">
        <v>62</v>
      </c>
      <c r="FW8">
        <v>75</v>
      </c>
      <c r="FX8">
        <v>6.3</v>
      </c>
      <c r="FY8">
        <v>50</v>
      </c>
      <c r="FZ8">
        <v>1.2</v>
      </c>
      <c r="GB8">
        <v>15</v>
      </c>
      <c r="GC8">
        <v>50</v>
      </c>
      <c r="GD8" t="s">
        <v>144</v>
      </c>
      <c r="GE8" t="s">
        <v>144</v>
      </c>
      <c r="GF8">
        <v>0.4</v>
      </c>
      <c r="GG8">
        <v>930.87</v>
      </c>
      <c r="GK8">
        <v>93</v>
      </c>
      <c r="GL8">
        <v>71</v>
      </c>
      <c r="GM8">
        <v>80</v>
      </c>
      <c r="GN8">
        <v>76</v>
      </c>
      <c r="GO8">
        <v>6</v>
      </c>
      <c r="GP8" t="s">
        <v>144</v>
      </c>
      <c r="GQ8" t="s">
        <v>144</v>
      </c>
      <c r="GR8">
        <v>0.6</v>
      </c>
      <c r="GS8">
        <v>995.82</v>
      </c>
      <c r="GW8">
        <v>92</v>
      </c>
      <c r="GX8">
        <v>62</v>
      </c>
      <c r="GY8">
        <v>73</v>
      </c>
      <c r="GZ8">
        <v>78</v>
      </c>
      <c r="HA8">
        <v>5.8</v>
      </c>
      <c r="HB8" t="s">
        <v>144</v>
      </c>
      <c r="HC8" t="s">
        <v>144</v>
      </c>
      <c r="HD8">
        <v>0.6</v>
      </c>
      <c r="HE8">
        <v>998.59</v>
      </c>
      <c r="HL8">
        <f t="shared" si="2"/>
        <v>92.399999999999977</v>
      </c>
      <c r="HM8" s="16">
        <f t="shared" si="3"/>
        <v>0.15988925419622768</v>
      </c>
      <c r="HN8">
        <f t="shared" si="4"/>
        <v>341.37</v>
      </c>
      <c r="HO8" s="16">
        <f t="shared" si="5"/>
        <v>0.57908396946564888</v>
      </c>
      <c r="HP8" s="26">
        <f t="shared" si="6"/>
        <v>248.97000000000003</v>
      </c>
      <c r="HQ8">
        <f>HE8-FP8</f>
        <v>409.09000000000003</v>
      </c>
      <c r="HR8" s="16">
        <f>HQ8/FP8</f>
        <v>0.69396098388464811</v>
      </c>
      <c r="HS8">
        <f>HE8-GG8</f>
        <v>67.720000000000027</v>
      </c>
      <c r="HT8">
        <f>EZ8-EE8</f>
        <v>1.2999999999999998</v>
      </c>
      <c r="HU8" s="28">
        <f>(HT8/EE8)*100</f>
        <v>25.999999999999996</v>
      </c>
      <c r="HV8">
        <f>FX8-FL8</f>
        <v>1</v>
      </c>
      <c r="HW8" s="29">
        <f>(HV8/FL8)*100</f>
        <v>18.867924528301888</v>
      </c>
    </row>
    <row r="9" spans="1:232" x14ac:dyDescent="0.35">
      <c r="A9" s="21" t="s">
        <v>305</v>
      </c>
      <c r="B9" s="21" t="s">
        <v>306</v>
      </c>
      <c r="C9" s="22">
        <v>18628</v>
      </c>
      <c r="D9" s="32">
        <v>29</v>
      </c>
      <c r="E9" s="21">
        <v>72</v>
      </c>
      <c r="F9" s="21">
        <v>71.5</v>
      </c>
      <c r="G9" s="21">
        <v>179</v>
      </c>
      <c r="H9">
        <f t="shared" si="0"/>
        <v>1.79</v>
      </c>
      <c r="I9">
        <f t="shared" si="1"/>
        <v>22.315158702911894</v>
      </c>
      <c r="J9" s="21">
        <v>0</v>
      </c>
      <c r="K9" s="21">
        <v>1</v>
      </c>
      <c r="L9" s="21">
        <v>1</v>
      </c>
      <c r="M9" s="21">
        <v>0</v>
      </c>
      <c r="N9" s="21">
        <v>1</v>
      </c>
      <c r="O9" s="21">
        <v>1</v>
      </c>
      <c r="P9" s="21">
        <v>0</v>
      </c>
      <c r="Q9" s="21">
        <v>1</v>
      </c>
      <c r="R9" s="21">
        <v>0</v>
      </c>
      <c r="S9" s="21">
        <v>1</v>
      </c>
      <c r="T9" s="21">
        <v>0</v>
      </c>
      <c r="U9" s="21">
        <v>1</v>
      </c>
      <c r="V9" s="21">
        <v>1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 t="s">
        <v>144</v>
      </c>
      <c r="AH9" s="21"/>
      <c r="AI9" s="21"/>
      <c r="AJ9" s="21"/>
      <c r="AK9" s="21"/>
      <c r="AL9" s="22">
        <v>45137</v>
      </c>
      <c r="AM9" s="21" t="s">
        <v>307</v>
      </c>
      <c r="AN9" s="21"/>
      <c r="AO9" s="21">
        <v>1</v>
      </c>
      <c r="AP9" s="21">
        <v>0</v>
      </c>
      <c r="AQ9" s="21">
        <v>0</v>
      </c>
      <c r="AR9" s="21">
        <v>0</v>
      </c>
      <c r="AS9" s="21">
        <v>0</v>
      </c>
      <c r="AT9" s="21"/>
      <c r="AU9" s="21">
        <v>1</v>
      </c>
      <c r="AV9" s="21">
        <v>0</v>
      </c>
      <c r="AW9" s="21">
        <v>1</v>
      </c>
      <c r="AX9" s="21">
        <v>0</v>
      </c>
      <c r="AY9" s="21">
        <v>0</v>
      </c>
      <c r="AZ9" s="21">
        <v>0</v>
      </c>
      <c r="BA9" s="21">
        <v>0</v>
      </c>
      <c r="BB9" s="21">
        <v>14</v>
      </c>
      <c r="BC9" s="21">
        <v>10.199999999999999</v>
      </c>
      <c r="BD9" s="21">
        <v>213</v>
      </c>
      <c r="BE9" s="21">
        <v>63</v>
      </c>
      <c r="BF9" s="21">
        <v>15.5</v>
      </c>
      <c r="BG9" s="21">
        <v>63</v>
      </c>
      <c r="BH9" s="21">
        <v>142</v>
      </c>
      <c r="BI9" s="21">
        <v>109</v>
      </c>
      <c r="BJ9" s="21">
        <v>6</v>
      </c>
      <c r="BK9" s="21" t="s">
        <v>144</v>
      </c>
      <c r="BL9" s="21" t="s">
        <v>144</v>
      </c>
      <c r="BM9" s="21" t="s">
        <v>144</v>
      </c>
      <c r="BN9" s="21">
        <v>7.34</v>
      </c>
      <c r="BO9" s="21">
        <v>115</v>
      </c>
      <c r="BP9" s="21">
        <v>44</v>
      </c>
      <c r="BQ9" s="21">
        <v>24</v>
      </c>
      <c r="BR9" s="21">
        <v>2</v>
      </c>
      <c r="BS9" s="21">
        <v>90</v>
      </c>
      <c r="BT9" s="21" t="s">
        <v>144</v>
      </c>
      <c r="BU9" s="21">
        <v>19</v>
      </c>
      <c r="BV9" s="21">
        <v>14</v>
      </c>
      <c r="BW9" s="21">
        <v>337</v>
      </c>
      <c r="BX9" s="21">
        <v>92</v>
      </c>
      <c r="BY9" s="22">
        <v>45139</v>
      </c>
      <c r="BZ9" s="21">
        <v>36</v>
      </c>
      <c r="CA9" s="21">
        <v>71.5</v>
      </c>
      <c r="CB9" s="21">
        <v>2</v>
      </c>
      <c r="CC9" s="21">
        <v>0</v>
      </c>
      <c r="CD9" s="21">
        <v>0</v>
      </c>
      <c r="CE9" s="21">
        <v>1</v>
      </c>
      <c r="CF9" s="21">
        <v>1</v>
      </c>
      <c r="CG9" s="21">
        <v>0</v>
      </c>
      <c r="CH9" s="21">
        <v>0</v>
      </c>
      <c r="CI9" s="21">
        <v>7.17</v>
      </c>
      <c r="CJ9" s="21">
        <v>8.1999999999999993</v>
      </c>
      <c r="CK9" s="21">
        <v>201</v>
      </c>
      <c r="CL9" s="21">
        <v>57</v>
      </c>
      <c r="CM9" s="21">
        <v>12.9</v>
      </c>
      <c r="CN9" s="21">
        <v>130</v>
      </c>
      <c r="CO9" s="21">
        <v>137</v>
      </c>
      <c r="CP9" s="21">
        <v>101</v>
      </c>
      <c r="CQ9" s="21">
        <v>5</v>
      </c>
      <c r="CR9" s="21">
        <v>88</v>
      </c>
      <c r="CS9" s="21">
        <v>1.37</v>
      </c>
      <c r="CT9" s="21" t="s">
        <v>282</v>
      </c>
      <c r="CU9" s="21" t="s">
        <v>144</v>
      </c>
      <c r="CV9" s="21" t="s">
        <v>144</v>
      </c>
      <c r="CW9" s="21" t="s">
        <v>144</v>
      </c>
      <c r="CX9" s="21" t="s">
        <v>144</v>
      </c>
      <c r="CY9" s="21" t="s">
        <v>144</v>
      </c>
      <c r="CZ9" s="21" t="s">
        <v>144</v>
      </c>
      <c r="DA9" s="21" t="s">
        <v>144</v>
      </c>
      <c r="DB9" s="21">
        <v>16</v>
      </c>
      <c r="DC9" s="21">
        <v>17</v>
      </c>
      <c r="DD9" s="21">
        <v>355</v>
      </c>
      <c r="DE9" s="21">
        <v>72</v>
      </c>
      <c r="DF9" s="21">
        <v>1</v>
      </c>
      <c r="DG9" s="21">
        <v>2</v>
      </c>
      <c r="DH9" s="21">
        <v>100</v>
      </c>
      <c r="DI9" s="21"/>
      <c r="DJ9" s="21">
        <v>0</v>
      </c>
      <c r="DK9" s="21">
        <v>0</v>
      </c>
      <c r="DL9" s="21"/>
      <c r="DM9" s="21">
        <v>0</v>
      </c>
      <c r="DN9" s="21">
        <v>0</v>
      </c>
      <c r="DO9" s="21">
        <v>0</v>
      </c>
      <c r="DP9" s="21">
        <v>200</v>
      </c>
      <c r="DQ9" s="21">
        <v>10</v>
      </c>
      <c r="DR9" s="21">
        <v>0</v>
      </c>
      <c r="DS9" s="21">
        <v>0</v>
      </c>
      <c r="DT9" s="21">
        <v>100</v>
      </c>
      <c r="DU9" s="21">
        <v>61</v>
      </c>
      <c r="DV9" s="21">
        <v>76</v>
      </c>
      <c r="DW9" s="21">
        <v>110</v>
      </c>
      <c r="DX9" s="21">
        <v>38.799999999999997</v>
      </c>
      <c r="DY9" s="21">
        <v>0</v>
      </c>
      <c r="DZ9" s="21">
        <v>0</v>
      </c>
      <c r="EA9" s="21">
        <v>1</v>
      </c>
      <c r="EB9" s="21">
        <v>8</v>
      </c>
      <c r="EC9" s="21">
        <v>50</v>
      </c>
      <c r="ED9" s="21">
        <v>60</v>
      </c>
      <c r="EE9" s="21">
        <v>3.8</v>
      </c>
      <c r="EF9" s="21">
        <v>40</v>
      </c>
      <c r="EG9" s="21">
        <v>20</v>
      </c>
      <c r="EH9" s="21">
        <v>0</v>
      </c>
      <c r="EI9" s="21">
        <v>0</v>
      </c>
      <c r="EJ9" s="21">
        <v>0</v>
      </c>
      <c r="EK9" s="21">
        <v>1.4</v>
      </c>
      <c r="EL9" s="21">
        <v>6</v>
      </c>
      <c r="EM9" s="21" t="s">
        <v>144</v>
      </c>
      <c r="EN9" s="21" t="s">
        <v>144</v>
      </c>
      <c r="EO9" s="21" t="s">
        <v>144</v>
      </c>
      <c r="EP9" s="21">
        <v>0</v>
      </c>
      <c r="EQ9" s="21">
        <v>1.9</v>
      </c>
      <c r="ER9" s="21">
        <v>238.68</v>
      </c>
      <c r="ES9" s="21">
        <v>60.9</v>
      </c>
      <c r="ET9" s="21">
        <v>123</v>
      </c>
      <c r="EU9" s="21">
        <v>505</v>
      </c>
      <c r="EV9" s="21">
        <v>122</v>
      </c>
      <c r="EW9" s="21">
        <v>74</v>
      </c>
      <c r="EX9" s="21">
        <v>88</v>
      </c>
      <c r="EY9" s="21">
        <v>111</v>
      </c>
      <c r="EZ9" s="21">
        <v>3.5</v>
      </c>
      <c r="FA9" s="21" t="s">
        <v>144</v>
      </c>
      <c r="FB9" s="21">
        <v>0</v>
      </c>
      <c r="FC9" s="21">
        <v>1.8</v>
      </c>
      <c r="FD9" s="21">
        <v>258.70999999999998</v>
      </c>
      <c r="FE9" s="21"/>
      <c r="FF9" s="21"/>
      <c r="FG9" s="21"/>
      <c r="FH9" s="21">
        <v>121</v>
      </c>
      <c r="FI9" s="21">
        <v>71</v>
      </c>
      <c r="FJ9" s="21">
        <v>87</v>
      </c>
      <c r="FK9" s="21">
        <v>112</v>
      </c>
      <c r="FL9" s="21">
        <v>3.2</v>
      </c>
      <c r="FM9" s="21" t="s">
        <v>144</v>
      </c>
      <c r="FN9" s="21">
        <v>0</v>
      </c>
      <c r="FO9" s="21">
        <v>1.8</v>
      </c>
      <c r="FP9" s="21">
        <v>166.69</v>
      </c>
      <c r="FQ9" s="21"/>
      <c r="FR9" s="21"/>
      <c r="FS9" s="21"/>
      <c r="FT9" s="21">
        <v>115</v>
      </c>
      <c r="FU9" s="21">
        <v>70</v>
      </c>
      <c r="FV9" s="21">
        <v>84</v>
      </c>
      <c r="FW9" s="21">
        <v>111</v>
      </c>
      <c r="FX9" s="21">
        <v>3.5</v>
      </c>
      <c r="FY9" s="21">
        <v>40</v>
      </c>
      <c r="FZ9" s="21">
        <v>1.2</v>
      </c>
      <c r="GA9" s="21" t="s">
        <v>144</v>
      </c>
      <c r="GB9" s="21">
        <v>19</v>
      </c>
      <c r="GC9" s="21">
        <v>0</v>
      </c>
      <c r="GD9" s="21" t="s">
        <v>144</v>
      </c>
      <c r="GE9" s="21">
        <v>0</v>
      </c>
      <c r="GF9" s="21">
        <v>1.6</v>
      </c>
      <c r="GG9" s="21">
        <v>408.49</v>
      </c>
      <c r="GH9" s="21"/>
      <c r="GI9" s="21"/>
      <c r="GJ9" s="21"/>
      <c r="GK9" s="21">
        <v>120</v>
      </c>
      <c r="GL9" s="21">
        <v>70</v>
      </c>
      <c r="GM9" s="21">
        <v>85</v>
      </c>
      <c r="GN9" s="21">
        <v>110</v>
      </c>
      <c r="GO9" s="21">
        <v>3.4</v>
      </c>
      <c r="GP9" s="21" t="s">
        <v>144</v>
      </c>
      <c r="GQ9" s="21">
        <v>0</v>
      </c>
      <c r="GR9" s="21">
        <v>1.55</v>
      </c>
      <c r="GS9" s="21">
        <v>403.44</v>
      </c>
      <c r="GT9" s="21"/>
      <c r="GU9" s="21"/>
      <c r="GV9" s="21"/>
      <c r="GW9" s="21">
        <v>114</v>
      </c>
      <c r="GX9" s="21">
        <v>67</v>
      </c>
      <c r="GY9" s="21">
        <v>82</v>
      </c>
      <c r="GZ9" s="21">
        <v>110</v>
      </c>
      <c r="HA9" s="21">
        <v>3.5</v>
      </c>
      <c r="HB9" s="21" t="s">
        <v>144</v>
      </c>
      <c r="HC9" s="21">
        <v>0</v>
      </c>
      <c r="HD9" s="21">
        <v>0.9</v>
      </c>
      <c r="HE9" s="21">
        <v>380.1</v>
      </c>
      <c r="HF9" s="21"/>
      <c r="HG9" s="21"/>
      <c r="HH9" s="21"/>
      <c r="HI9" s="21"/>
      <c r="HJ9" s="21"/>
      <c r="HK9" s="21"/>
      <c r="HL9" s="21">
        <f t="shared" si="2"/>
        <v>20.029999999999973</v>
      </c>
      <c r="HM9" s="23">
        <f t="shared" si="3"/>
        <v>8.3919892743422042E-2</v>
      </c>
      <c r="HN9" s="21">
        <f t="shared" si="4"/>
        <v>241.8</v>
      </c>
      <c r="HO9" s="23">
        <f t="shared" si="5"/>
        <v>1.4505969164316996</v>
      </c>
      <c r="HP9" s="26">
        <f t="shared" si="6"/>
        <v>221.77000000000004</v>
      </c>
      <c r="HQ9">
        <f>HE9-FP9</f>
        <v>213.41000000000003</v>
      </c>
      <c r="HR9" s="23">
        <f>HQ9/FP9</f>
        <v>1.2802807606935032</v>
      </c>
      <c r="HS9" s="21">
        <f>HE9-GG9</f>
        <v>-28.389999999999986</v>
      </c>
      <c r="HT9">
        <f>EZ9-EE9</f>
        <v>-0.29999999999999982</v>
      </c>
      <c r="HU9" s="28">
        <f>(HT9/EE9)*100</f>
        <v>-7.8947368421052584</v>
      </c>
      <c r="HV9">
        <f>FX9-FL9</f>
        <v>0.29999999999999982</v>
      </c>
      <c r="HW9" s="28">
        <f>(HV9/FL9)*100</f>
        <v>9.3749999999999947</v>
      </c>
    </row>
    <row r="10" spans="1:232" x14ac:dyDescent="0.35">
      <c r="A10" s="21" t="s">
        <v>178</v>
      </c>
      <c r="B10" s="21" t="s">
        <v>146</v>
      </c>
      <c r="C10" s="22">
        <v>16224</v>
      </c>
      <c r="D10" s="32">
        <v>68</v>
      </c>
      <c r="E10" s="21">
        <v>78</v>
      </c>
      <c r="F10" s="21">
        <v>60.8</v>
      </c>
      <c r="G10" s="21">
        <v>155</v>
      </c>
      <c r="H10">
        <f t="shared" si="0"/>
        <v>1.55</v>
      </c>
      <c r="I10">
        <f t="shared" si="1"/>
        <v>25.306971904266383</v>
      </c>
      <c r="J10" s="21">
        <v>1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 t="s">
        <v>179</v>
      </c>
      <c r="AD10" s="21">
        <v>0</v>
      </c>
      <c r="AE10" s="21">
        <v>0</v>
      </c>
      <c r="AF10" s="21">
        <v>0</v>
      </c>
      <c r="AG10" s="21" t="s">
        <v>176</v>
      </c>
      <c r="AH10" s="21">
        <v>0</v>
      </c>
      <c r="AI10" s="21">
        <v>0</v>
      </c>
      <c r="AJ10" s="21">
        <v>0</v>
      </c>
      <c r="AK10" s="21">
        <v>0</v>
      </c>
      <c r="AL10" s="22">
        <v>44968</v>
      </c>
      <c r="AM10" s="21" t="s">
        <v>180</v>
      </c>
      <c r="AN10" s="21"/>
      <c r="AO10" s="21">
        <v>1</v>
      </c>
      <c r="AP10" s="21">
        <v>1</v>
      </c>
      <c r="AQ10" s="21">
        <v>0</v>
      </c>
      <c r="AR10" s="21">
        <v>0</v>
      </c>
      <c r="AS10" s="21">
        <v>0</v>
      </c>
      <c r="AT10" s="21">
        <v>38</v>
      </c>
      <c r="AU10" s="21">
        <v>6</v>
      </c>
      <c r="AV10" s="21">
        <v>4</v>
      </c>
      <c r="AW10" s="21">
        <v>0</v>
      </c>
      <c r="AX10" s="21">
        <v>0</v>
      </c>
      <c r="AY10" s="21">
        <v>2</v>
      </c>
      <c r="AZ10" s="21">
        <v>0</v>
      </c>
      <c r="BA10" s="21">
        <v>0</v>
      </c>
      <c r="BB10" s="21">
        <v>29.72</v>
      </c>
      <c r="BC10" s="21">
        <v>15.2</v>
      </c>
      <c r="BD10" s="21">
        <v>368</v>
      </c>
      <c r="BE10" s="21">
        <v>64</v>
      </c>
      <c r="BF10" s="21">
        <v>17</v>
      </c>
      <c r="BG10" s="21">
        <v>237</v>
      </c>
      <c r="BH10" s="21">
        <v>135</v>
      </c>
      <c r="BI10" s="21">
        <v>98</v>
      </c>
      <c r="BJ10" s="21" t="s">
        <v>144</v>
      </c>
      <c r="BK10" s="21">
        <v>346</v>
      </c>
      <c r="BL10" s="21">
        <v>39.200000000000003</v>
      </c>
      <c r="BM10" s="21">
        <v>21</v>
      </c>
      <c r="BN10" s="21">
        <v>7.48</v>
      </c>
      <c r="BO10" s="21">
        <v>93</v>
      </c>
      <c r="BP10" s="21">
        <v>24</v>
      </c>
      <c r="BQ10" s="21">
        <v>18</v>
      </c>
      <c r="BR10" s="21">
        <v>3.8</v>
      </c>
      <c r="BS10" s="21" t="s">
        <v>144</v>
      </c>
      <c r="BT10" s="21" t="s">
        <v>144</v>
      </c>
      <c r="BU10" s="21">
        <v>51</v>
      </c>
      <c r="BV10" s="21">
        <v>35</v>
      </c>
      <c r="BW10" s="21" t="s">
        <v>144</v>
      </c>
      <c r="BX10" s="21">
        <v>253</v>
      </c>
      <c r="BY10" s="22">
        <v>44970</v>
      </c>
      <c r="BZ10" s="21">
        <v>36</v>
      </c>
      <c r="CA10" s="21">
        <v>61</v>
      </c>
      <c r="CB10" s="21">
        <v>7</v>
      </c>
      <c r="CC10" s="21">
        <v>4</v>
      </c>
      <c r="CD10" s="21">
        <v>0</v>
      </c>
      <c r="CE10" s="21">
        <v>0</v>
      </c>
      <c r="CF10" s="21">
        <v>2</v>
      </c>
      <c r="CG10" s="21">
        <v>1</v>
      </c>
      <c r="CH10" s="21">
        <v>0</v>
      </c>
      <c r="CI10" s="21">
        <v>31.48</v>
      </c>
      <c r="CJ10" s="21">
        <v>12.3</v>
      </c>
      <c r="CK10" s="21">
        <v>228</v>
      </c>
      <c r="CL10" s="21">
        <v>55</v>
      </c>
      <c r="CM10" s="21">
        <v>26.6</v>
      </c>
      <c r="CN10" s="21">
        <v>284</v>
      </c>
      <c r="CO10" s="21">
        <v>138</v>
      </c>
      <c r="CP10" s="21">
        <v>102</v>
      </c>
      <c r="CQ10" s="21">
        <v>20</v>
      </c>
      <c r="CR10" s="21" t="s">
        <v>144</v>
      </c>
      <c r="CS10" s="21" t="s">
        <v>144</v>
      </c>
      <c r="CT10" s="21">
        <v>21</v>
      </c>
      <c r="CU10" s="21">
        <v>7.38</v>
      </c>
      <c r="CV10" s="21">
        <v>88</v>
      </c>
      <c r="CW10" s="21">
        <v>29</v>
      </c>
      <c r="CX10" s="21">
        <v>17</v>
      </c>
      <c r="CY10" s="21">
        <v>2.2000000000000002</v>
      </c>
      <c r="CZ10" s="21">
        <v>42</v>
      </c>
      <c r="DA10" s="21">
        <v>37</v>
      </c>
      <c r="DB10" s="21">
        <v>2776</v>
      </c>
      <c r="DC10" s="21">
        <v>1254</v>
      </c>
      <c r="DD10" s="21">
        <v>3537</v>
      </c>
      <c r="DE10" s="21">
        <v>324</v>
      </c>
      <c r="DF10" s="21" t="s">
        <v>182</v>
      </c>
      <c r="DG10" s="21">
        <v>2</v>
      </c>
      <c r="DH10" s="21">
        <v>100</v>
      </c>
      <c r="DI10" s="21">
        <v>3000</v>
      </c>
      <c r="DJ10" s="21">
        <v>1</v>
      </c>
      <c r="DK10" s="21">
        <v>0</v>
      </c>
      <c r="DL10" s="21">
        <v>0.1</v>
      </c>
      <c r="DM10" s="21">
        <v>1</v>
      </c>
      <c r="DN10" s="21">
        <v>0</v>
      </c>
      <c r="DO10" s="21">
        <v>0</v>
      </c>
      <c r="DP10" s="21">
        <v>0</v>
      </c>
      <c r="DQ10" s="21">
        <v>0</v>
      </c>
      <c r="DR10" s="21">
        <v>0</v>
      </c>
      <c r="DS10" s="21">
        <v>0</v>
      </c>
      <c r="DT10" s="21">
        <v>125</v>
      </c>
      <c r="DU10" s="21">
        <v>58</v>
      </c>
      <c r="DV10" s="21">
        <v>75</v>
      </c>
      <c r="DW10" s="21">
        <v>145</v>
      </c>
      <c r="DX10" s="21">
        <v>36.200000000000003</v>
      </c>
      <c r="DY10" s="21">
        <v>1</v>
      </c>
      <c r="DZ10" s="21">
        <v>0</v>
      </c>
      <c r="EA10" s="21">
        <v>0</v>
      </c>
      <c r="EB10" s="21" t="s">
        <v>176</v>
      </c>
      <c r="EC10" s="21" t="s">
        <v>176</v>
      </c>
      <c r="ED10" s="21">
        <v>2</v>
      </c>
      <c r="EE10" s="21">
        <v>3.7</v>
      </c>
      <c r="EF10" s="21">
        <v>50</v>
      </c>
      <c r="EG10" s="21">
        <v>15</v>
      </c>
      <c r="EH10" s="21">
        <v>0</v>
      </c>
      <c r="EI10" s="21">
        <v>0</v>
      </c>
      <c r="EJ10" s="21">
        <v>0</v>
      </c>
      <c r="EK10" s="21" t="s">
        <v>176</v>
      </c>
      <c r="EL10" s="21" t="s">
        <v>176</v>
      </c>
      <c r="EM10" s="21" t="s">
        <v>176</v>
      </c>
      <c r="EN10" s="21" t="s">
        <v>176</v>
      </c>
      <c r="EO10" s="21" t="s">
        <v>176</v>
      </c>
      <c r="EP10" s="21">
        <v>1</v>
      </c>
      <c r="EQ10" s="21">
        <v>5.01</v>
      </c>
      <c r="ER10" s="21">
        <v>23.68</v>
      </c>
      <c r="ES10" s="21">
        <v>6.07</v>
      </c>
      <c r="ET10" s="21">
        <v>12.73</v>
      </c>
      <c r="EU10" s="21">
        <v>51.97</v>
      </c>
      <c r="EV10" s="21">
        <v>115</v>
      </c>
      <c r="EW10" s="21">
        <v>55</v>
      </c>
      <c r="EX10" s="21">
        <v>67</v>
      </c>
      <c r="EY10" s="21">
        <v>160</v>
      </c>
      <c r="EZ10" s="21">
        <v>4.8</v>
      </c>
      <c r="FA10" s="21" t="s">
        <v>144</v>
      </c>
      <c r="FB10" s="21">
        <v>0</v>
      </c>
      <c r="FC10" s="21">
        <v>2.25</v>
      </c>
      <c r="FD10" s="21">
        <v>55.07</v>
      </c>
      <c r="FE10" s="21">
        <v>35.04</v>
      </c>
      <c r="FF10" s="21">
        <v>23.62</v>
      </c>
      <c r="FG10" s="21">
        <v>62.79</v>
      </c>
      <c r="FH10" s="21">
        <v>117</v>
      </c>
      <c r="FI10" s="21">
        <v>55</v>
      </c>
      <c r="FJ10" s="21">
        <v>66</v>
      </c>
      <c r="FK10" s="21">
        <v>165</v>
      </c>
      <c r="FL10" s="21">
        <v>3.9</v>
      </c>
      <c r="FM10" s="21" t="s">
        <v>144</v>
      </c>
      <c r="FN10" s="21">
        <v>1</v>
      </c>
      <c r="FO10" s="21">
        <v>3.21</v>
      </c>
      <c r="FP10" s="21">
        <v>37.57</v>
      </c>
      <c r="FQ10" s="21">
        <v>28.45</v>
      </c>
      <c r="FR10" s="21">
        <v>13.46</v>
      </c>
      <c r="FS10" s="21">
        <v>260.99</v>
      </c>
      <c r="FT10" s="21">
        <v>106</v>
      </c>
      <c r="FU10" s="21">
        <v>50</v>
      </c>
      <c r="FV10" s="21">
        <v>62</v>
      </c>
      <c r="FW10" s="21">
        <v>153</v>
      </c>
      <c r="FX10" s="21">
        <v>4.7</v>
      </c>
      <c r="FY10" s="21"/>
      <c r="FZ10" s="21"/>
      <c r="GA10" s="21"/>
      <c r="GB10" s="21"/>
      <c r="GC10" s="21"/>
      <c r="GD10" s="21" t="s">
        <v>144</v>
      </c>
      <c r="GE10" s="21">
        <v>0</v>
      </c>
      <c r="GF10" s="21">
        <v>2.5499999999999998</v>
      </c>
      <c r="GG10" s="21">
        <v>47.32</v>
      </c>
      <c r="GH10" s="21">
        <v>11.77</v>
      </c>
      <c r="GI10" s="21">
        <v>27.56</v>
      </c>
      <c r="GJ10" s="21">
        <v>110.78</v>
      </c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>
        <f t="shared" si="2"/>
        <v>31.39</v>
      </c>
      <c r="HM10" s="23">
        <f t="shared" si="3"/>
        <v>1.3255912162162162</v>
      </c>
      <c r="HN10" s="21">
        <f t="shared" si="4"/>
        <v>9.75</v>
      </c>
      <c r="HO10" s="23">
        <f t="shared" si="5"/>
        <v>0.25951557093425603</v>
      </c>
      <c r="HP10" s="26">
        <f t="shared" si="6"/>
        <v>-21.64</v>
      </c>
      <c r="HR10" s="23"/>
      <c r="HS10" s="21"/>
      <c r="HT10">
        <f>EZ10-EE10</f>
        <v>1.0999999999999996</v>
      </c>
      <c r="HU10" s="28">
        <f>(HT10/EE10)*100</f>
        <v>29.729729729729719</v>
      </c>
      <c r="HV10">
        <f>FX10-FL10</f>
        <v>0.80000000000000027</v>
      </c>
      <c r="HW10" s="29">
        <f>(HV10/FL10)*100</f>
        <v>20.512820512820522</v>
      </c>
    </row>
    <row r="11" spans="1:232" x14ac:dyDescent="0.35">
      <c r="A11" t="s">
        <v>200</v>
      </c>
      <c r="B11" t="s">
        <v>201</v>
      </c>
      <c r="C11" s="3">
        <v>27445</v>
      </c>
      <c r="D11" s="31">
        <v>79</v>
      </c>
      <c r="E11">
        <v>48</v>
      </c>
      <c r="F11">
        <v>91.1</v>
      </c>
      <c r="G11">
        <v>175</v>
      </c>
      <c r="H11">
        <f t="shared" si="0"/>
        <v>1.75</v>
      </c>
      <c r="I11">
        <f t="shared" si="1"/>
        <v>29.746938775510202</v>
      </c>
      <c r="J11">
        <v>1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144</v>
      </c>
      <c r="AH11">
        <v>0</v>
      </c>
      <c r="AI11">
        <v>0</v>
      </c>
      <c r="AJ11">
        <v>0</v>
      </c>
      <c r="AK11">
        <v>0</v>
      </c>
      <c r="AL11" s="3">
        <v>44988</v>
      </c>
      <c r="AM11" t="s">
        <v>202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71</v>
      </c>
      <c r="AU11">
        <v>8</v>
      </c>
      <c r="AV11">
        <v>1</v>
      </c>
      <c r="AW11">
        <v>0</v>
      </c>
      <c r="AX11">
        <v>4</v>
      </c>
      <c r="AY11">
        <v>3</v>
      </c>
      <c r="AZ11">
        <v>0</v>
      </c>
      <c r="BA11">
        <v>0</v>
      </c>
      <c r="BB11">
        <v>16.829999999999998</v>
      </c>
      <c r="BC11">
        <v>12.5</v>
      </c>
      <c r="BD11">
        <v>298</v>
      </c>
      <c r="BE11">
        <v>55</v>
      </c>
      <c r="BF11">
        <v>3.9</v>
      </c>
      <c r="BG11">
        <v>37</v>
      </c>
      <c r="BH11">
        <v>142</v>
      </c>
      <c r="BI11">
        <v>109</v>
      </c>
      <c r="BJ11">
        <v>7</v>
      </c>
      <c r="BK11">
        <v>18.899999999999999</v>
      </c>
      <c r="BL11">
        <v>0.33</v>
      </c>
      <c r="BM11" t="s">
        <v>144</v>
      </c>
      <c r="BN11">
        <v>6.94</v>
      </c>
      <c r="BO11">
        <v>189</v>
      </c>
      <c r="BP11">
        <v>15</v>
      </c>
      <c r="BQ11">
        <v>3</v>
      </c>
      <c r="BR11">
        <v>2.1</v>
      </c>
      <c r="BS11">
        <v>69</v>
      </c>
      <c r="BT11">
        <v>110</v>
      </c>
      <c r="BU11">
        <v>14</v>
      </c>
      <c r="BV11">
        <v>15</v>
      </c>
      <c r="BW11">
        <v>536</v>
      </c>
      <c r="BX11">
        <v>43</v>
      </c>
      <c r="BY11" s="3">
        <v>44988</v>
      </c>
      <c r="BZ11">
        <v>2</v>
      </c>
      <c r="CA11">
        <v>91</v>
      </c>
      <c r="CB11">
        <v>8</v>
      </c>
      <c r="CC11">
        <v>1</v>
      </c>
      <c r="CD11">
        <v>0</v>
      </c>
      <c r="CE11">
        <v>4</v>
      </c>
      <c r="CF11">
        <v>3</v>
      </c>
      <c r="CG11">
        <v>0</v>
      </c>
      <c r="CH11">
        <v>0</v>
      </c>
      <c r="CI11">
        <v>16.829999999999998</v>
      </c>
      <c r="CJ11">
        <v>12.5</v>
      </c>
      <c r="CK11">
        <v>298</v>
      </c>
      <c r="CL11">
        <v>55</v>
      </c>
      <c r="CM11">
        <v>3.9</v>
      </c>
      <c r="CN11">
        <v>37</v>
      </c>
      <c r="CO11">
        <v>142</v>
      </c>
      <c r="CP11">
        <v>109</v>
      </c>
      <c r="CQ11">
        <v>7</v>
      </c>
      <c r="CR11">
        <v>18.899999999999999</v>
      </c>
      <c r="CS11">
        <v>0.33</v>
      </c>
      <c r="CT11" t="s">
        <v>144</v>
      </c>
      <c r="CU11">
        <v>6.94</v>
      </c>
      <c r="CV11">
        <v>189</v>
      </c>
      <c r="CW11">
        <v>15</v>
      </c>
      <c r="CX11">
        <v>3</v>
      </c>
      <c r="CY11">
        <v>2.1</v>
      </c>
      <c r="CZ11">
        <v>69</v>
      </c>
      <c r="DA11">
        <v>110</v>
      </c>
      <c r="DB11">
        <v>14</v>
      </c>
      <c r="DC11">
        <v>15</v>
      </c>
      <c r="DD11">
        <v>536</v>
      </c>
      <c r="DE11">
        <v>43</v>
      </c>
      <c r="DF11">
        <v>1</v>
      </c>
      <c r="DG11">
        <v>1</v>
      </c>
      <c r="DH11">
        <v>500</v>
      </c>
      <c r="DI11">
        <v>1500</v>
      </c>
      <c r="DJ11">
        <v>1</v>
      </c>
      <c r="DK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86</v>
      </c>
      <c r="DU11">
        <v>46</v>
      </c>
      <c r="DV11">
        <v>59</v>
      </c>
      <c r="DW11">
        <v>134</v>
      </c>
      <c r="DX11">
        <v>35.6</v>
      </c>
      <c r="DY11">
        <v>1</v>
      </c>
      <c r="DZ11">
        <v>0</v>
      </c>
      <c r="EA11">
        <v>0</v>
      </c>
      <c r="EB11" t="s">
        <v>176</v>
      </c>
      <c r="EC11" t="s">
        <v>176</v>
      </c>
      <c r="ED11">
        <v>2</v>
      </c>
      <c r="EE11">
        <v>3.2</v>
      </c>
      <c r="EF11">
        <v>30</v>
      </c>
      <c r="EG11">
        <v>15</v>
      </c>
      <c r="EH11">
        <v>0</v>
      </c>
      <c r="EI11">
        <v>0</v>
      </c>
      <c r="EJ11">
        <v>0</v>
      </c>
      <c r="EK11">
        <v>0.9</v>
      </c>
      <c r="EL11" t="s">
        <v>176</v>
      </c>
      <c r="EM11" t="s">
        <v>144</v>
      </c>
      <c r="EN11" t="s">
        <v>144</v>
      </c>
      <c r="EO11" t="s">
        <v>144</v>
      </c>
      <c r="EP11">
        <v>5</v>
      </c>
      <c r="EQ11">
        <v>8.49</v>
      </c>
      <c r="ER11">
        <v>6.3</v>
      </c>
      <c r="ES11">
        <v>0.64</v>
      </c>
      <c r="ET11">
        <v>5.25</v>
      </c>
      <c r="EU11">
        <v>11.14</v>
      </c>
      <c r="EV11">
        <v>56</v>
      </c>
      <c r="EW11">
        <v>40</v>
      </c>
      <c r="EX11">
        <v>48</v>
      </c>
      <c r="EY11">
        <v>127</v>
      </c>
      <c r="EZ11">
        <v>3.6</v>
      </c>
      <c r="FA11" t="s">
        <v>144</v>
      </c>
      <c r="FB11">
        <v>3</v>
      </c>
      <c r="FC11">
        <v>6.36</v>
      </c>
      <c r="FD11">
        <v>13</v>
      </c>
      <c r="FE11">
        <v>4.5</v>
      </c>
      <c r="FF11">
        <v>6.84</v>
      </c>
      <c r="FG11">
        <v>32.869999999999997</v>
      </c>
      <c r="FH11">
        <v>89</v>
      </c>
      <c r="FI11">
        <v>64</v>
      </c>
      <c r="FJ11">
        <v>73</v>
      </c>
      <c r="FK11">
        <v>133</v>
      </c>
      <c r="FL11">
        <v>3.3</v>
      </c>
      <c r="FM11" t="s">
        <v>144</v>
      </c>
      <c r="FN11">
        <v>5</v>
      </c>
      <c r="FO11">
        <v>7.59</v>
      </c>
      <c r="FP11">
        <v>6.29</v>
      </c>
      <c r="FQ11">
        <v>1.17</v>
      </c>
      <c r="FR11">
        <v>4.46</v>
      </c>
      <c r="FS11">
        <v>11.84</v>
      </c>
      <c r="FT11">
        <v>89</v>
      </c>
      <c r="FU11">
        <v>53</v>
      </c>
      <c r="FV11">
        <v>64</v>
      </c>
      <c r="FW11">
        <v>122</v>
      </c>
      <c r="FX11">
        <v>3.5</v>
      </c>
      <c r="GD11" t="s">
        <v>144</v>
      </c>
      <c r="GE11">
        <v>4</v>
      </c>
      <c r="GF11">
        <v>6.26</v>
      </c>
      <c r="GG11">
        <v>14.74</v>
      </c>
      <c r="GH11">
        <v>8.85</v>
      </c>
      <c r="GI11">
        <v>7.78</v>
      </c>
      <c r="GJ11">
        <v>119.11</v>
      </c>
      <c r="HJ11">
        <v>1</v>
      </c>
      <c r="HK11" s="3">
        <v>45017</v>
      </c>
      <c r="HL11">
        <f t="shared" si="2"/>
        <v>6.7</v>
      </c>
      <c r="HM11" s="16">
        <f t="shared" si="3"/>
        <v>1.0634920634920635</v>
      </c>
      <c r="HN11">
        <f t="shared" si="4"/>
        <v>8.4499999999999993</v>
      </c>
      <c r="HO11" s="16">
        <f t="shared" si="5"/>
        <v>1.3434022257551668</v>
      </c>
      <c r="HP11" s="26">
        <f t="shared" si="6"/>
        <v>1.7499999999999991</v>
      </c>
      <c r="HR11" s="16"/>
      <c r="HT11">
        <f>EZ11-EE11</f>
        <v>0.39999999999999991</v>
      </c>
      <c r="HU11" s="28">
        <f>(HT11/EE11)*100</f>
        <v>12.499999999999996</v>
      </c>
      <c r="HV11">
        <f>FX11-FL11</f>
        <v>0.20000000000000018</v>
      </c>
      <c r="HW11" s="28">
        <f>(HV11/FL11)*100</f>
        <v>6.0606060606060659</v>
      </c>
    </row>
    <row r="12" spans="1:232" x14ac:dyDescent="0.35">
      <c r="A12" t="s">
        <v>336</v>
      </c>
      <c r="B12" t="s">
        <v>337</v>
      </c>
      <c r="C12" s="3">
        <v>38384</v>
      </c>
      <c r="D12" s="31">
        <v>67</v>
      </c>
      <c r="E12">
        <v>18</v>
      </c>
      <c r="F12">
        <v>77</v>
      </c>
      <c r="G12">
        <v>170</v>
      </c>
      <c r="H12">
        <f t="shared" si="0"/>
        <v>1.7</v>
      </c>
      <c r="I12">
        <f t="shared" si="1"/>
        <v>26.643598615916957</v>
      </c>
      <c r="J12">
        <v>1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144</v>
      </c>
      <c r="AL12" s="3">
        <v>45172</v>
      </c>
      <c r="AM12" t="s">
        <v>338</v>
      </c>
      <c r="AO12">
        <v>0</v>
      </c>
      <c r="AP12">
        <v>0</v>
      </c>
      <c r="AQ12">
        <v>0</v>
      </c>
      <c r="AR12">
        <v>1</v>
      </c>
      <c r="AS12">
        <v>0</v>
      </c>
      <c r="AU12">
        <v>3</v>
      </c>
      <c r="AV12">
        <v>1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24.4</v>
      </c>
      <c r="BC12">
        <v>13.1</v>
      </c>
      <c r="BD12">
        <v>204</v>
      </c>
      <c r="BE12">
        <v>69</v>
      </c>
      <c r="BF12">
        <v>8.6</v>
      </c>
      <c r="BG12">
        <v>113</v>
      </c>
      <c r="BH12">
        <v>136</v>
      </c>
      <c r="BI12">
        <v>103</v>
      </c>
      <c r="BJ12">
        <v>7</v>
      </c>
      <c r="BK12">
        <v>54</v>
      </c>
      <c r="BL12">
        <v>23.7</v>
      </c>
      <c r="BM12" t="s">
        <v>144</v>
      </c>
      <c r="BN12">
        <v>6.9</v>
      </c>
      <c r="BO12">
        <v>131</v>
      </c>
      <c r="BP12">
        <v>14</v>
      </c>
      <c r="BQ12">
        <v>3</v>
      </c>
      <c r="BR12">
        <v>4.5</v>
      </c>
      <c r="BS12">
        <v>65</v>
      </c>
      <c r="BT12">
        <v>240</v>
      </c>
      <c r="BU12">
        <v>20</v>
      </c>
      <c r="BV12">
        <v>17</v>
      </c>
      <c r="BW12">
        <v>850</v>
      </c>
      <c r="BX12">
        <v>74</v>
      </c>
      <c r="BY12" s="3">
        <v>45173</v>
      </c>
      <c r="BZ12">
        <v>17</v>
      </c>
      <c r="CA12">
        <v>77</v>
      </c>
      <c r="CB12">
        <v>3</v>
      </c>
      <c r="CC12">
        <v>1</v>
      </c>
      <c r="CD12">
        <v>0</v>
      </c>
      <c r="CE12">
        <v>1</v>
      </c>
      <c r="CF12">
        <v>1</v>
      </c>
      <c r="CG12">
        <v>0</v>
      </c>
      <c r="CH12">
        <v>0</v>
      </c>
      <c r="CI12">
        <v>24.4</v>
      </c>
      <c r="CJ12">
        <v>13.1</v>
      </c>
      <c r="CK12">
        <v>204</v>
      </c>
      <c r="CL12">
        <v>69</v>
      </c>
      <c r="CM12">
        <v>8.6</v>
      </c>
      <c r="CN12">
        <v>113</v>
      </c>
      <c r="CO12">
        <v>136</v>
      </c>
      <c r="CP12">
        <v>103</v>
      </c>
      <c r="CQ12">
        <v>7</v>
      </c>
      <c r="CR12">
        <v>54</v>
      </c>
      <c r="CS12">
        <v>23.7</v>
      </c>
      <c r="CT12" t="s">
        <v>144</v>
      </c>
      <c r="CU12">
        <v>6.9</v>
      </c>
      <c r="CV12">
        <v>131</v>
      </c>
      <c r="CW12">
        <v>14</v>
      </c>
      <c r="CX12">
        <v>3</v>
      </c>
      <c r="CY12">
        <v>4.5</v>
      </c>
      <c r="CZ12">
        <v>65</v>
      </c>
      <c r="DA12">
        <v>240</v>
      </c>
      <c r="DB12">
        <v>20</v>
      </c>
      <c r="DC12">
        <v>17</v>
      </c>
      <c r="DD12">
        <v>850</v>
      </c>
      <c r="DE12">
        <v>74</v>
      </c>
      <c r="DF12" t="s">
        <v>340</v>
      </c>
      <c r="DG12">
        <v>1</v>
      </c>
      <c r="DH12">
        <v>500</v>
      </c>
      <c r="DI12">
        <v>2000</v>
      </c>
      <c r="DJ12">
        <v>1</v>
      </c>
      <c r="DK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135</v>
      </c>
      <c r="DU12">
        <v>87</v>
      </c>
      <c r="DV12">
        <v>100</v>
      </c>
      <c r="DW12">
        <v>132</v>
      </c>
      <c r="DX12">
        <v>38.5</v>
      </c>
      <c r="DY12">
        <v>1</v>
      </c>
      <c r="DZ12">
        <v>0</v>
      </c>
      <c r="EA12">
        <v>0</v>
      </c>
      <c r="EB12">
        <v>0</v>
      </c>
      <c r="EC12">
        <v>21</v>
      </c>
      <c r="ED12">
        <v>0</v>
      </c>
      <c r="EE12" t="s">
        <v>144</v>
      </c>
      <c r="EF12" t="s">
        <v>144</v>
      </c>
      <c r="EG12" t="s">
        <v>144</v>
      </c>
      <c r="EH12" t="s">
        <v>144</v>
      </c>
      <c r="EI12" t="s">
        <v>144</v>
      </c>
      <c r="EJ12" t="s">
        <v>144</v>
      </c>
      <c r="EK12" t="s">
        <v>144</v>
      </c>
      <c r="EL12" t="s">
        <v>144</v>
      </c>
      <c r="EM12" t="s">
        <v>144</v>
      </c>
      <c r="EN12" t="s">
        <v>144</v>
      </c>
      <c r="EO12" t="s">
        <v>144</v>
      </c>
      <c r="EP12" t="s">
        <v>144</v>
      </c>
      <c r="EQ12">
        <v>4.5</v>
      </c>
      <c r="ER12">
        <v>19.260000000000002</v>
      </c>
      <c r="ES12">
        <v>2.5</v>
      </c>
      <c r="ET12">
        <v>13</v>
      </c>
      <c r="EU12">
        <v>25</v>
      </c>
      <c r="EV12">
        <v>139</v>
      </c>
      <c r="EW12">
        <v>85</v>
      </c>
      <c r="EX12">
        <v>99</v>
      </c>
      <c r="EY12">
        <v>131</v>
      </c>
      <c r="FC12">
        <v>2.8</v>
      </c>
      <c r="FD12">
        <v>29.73</v>
      </c>
      <c r="FH12">
        <v>135</v>
      </c>
      <c r="FI12">
        <v>87</v>
      </c>
      <c r="FJ12">
        <v>100</v>
      </c>
      <c r="FK12">
        <v>131</v>
      </c>
      <c r="FO12">
        <v>4.4000000000000004</v>
      </c>
      <c r="FP12">
        <v>20.76</v>
      </c>
      <c r="FT12">
        <v>129</v>
      </c>
      <c r="FU12">
        <v>79</v>
      </c>
      <c r="FV12">
        <v>93</v>
      </c>
      <c r="FW12">
        <v>127</v>
      </c>
      <c r="GF12">
        <v>3.7</v>
      </c>
      <c r="GG12">
        <v>54.81</v>
      </c>
      <c r="GW12">
        <v>129</v>
      </c>
      <c r="GX12">
        <v>79</v>
      </c>
      <c r="GY12">
        <v>93</v>
      </c>
      <c r="GZ12">
        <v>124</v>
      </c>
      <c r="HD12">
        <v>3.9</v>
      </c>
      <c r="HE12">
        <v>32.44</v>
      </c>
      <c r="HL12">
        <f t="shared" si="2"/>
        <v>10.469999999999999</v>
      </c>
      <c r="HM12" s="16">
        <f t="shared" si="3"/>
        <v>0.54361370716510893</v>
      </c>
      <c r="HN12">
        <f t="shared" si="4"/>
        <v>34.049999999999997</v>
      </c>
      <c r="HO12" s="16">
        <f t="shared" si="5"/>
        <v>1.6401734104046239</v>
      </c>
      <c r="HP12" s="26">
        <f t="shared" si="6"/>
        <v>23.58</v>
      </c>
      <c r="HQ12">
        <f>HE12-FP12</f>
        <v>11.679999999999996</v>
      </c>
      <c r="HR12" s="16">
        <f>HQ12/FP12</f>
        <v>0.56262042389209999</v>
      </c>
      <c r="HS12">
        <f>HE12-GG12</f>
        <v>-22.370000000000005</v>
      </c>
      <c r="HU12" s="28"/>
      <c r="HW12" s="28"/>
    </row>
    <row r="13" spans="1:232" x14ac:dyDescent="0.35">
      <c r="A13" t="s">
        <v>312</v>
      </c>
      <c r="B13" t="s">
        <v>313</v>
      </c>
      <c r="C13" s="3">
        <v>27345</v>
      </c>
      <c r="D13" s="31">
        <v>23</v>
      </c>
      <c r="E13">
        <v>48</v>
      </c>
      <c r="F13">
        <v>51</v>
      </c>
      <c r="G13">
        <v>170</v>
      </c>
      <c r="H13">
        <f t="shared" si="0"/>
        <v>1.7</v>
      </c>
      <c r="I13">
        <f t="shared" si="1"/>
        <v>17.647058823529413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314</v>
      </c>
      <c r="AL13" s="3">
        <v>45138</v>
      </c>
      <c r="AM13" t="s">
        <v>315</v>
      </c>
      <c r="AO13">
        <v>0</v>
      </c>
      <c r="AP13">
        <v>0</v>
      </c>
      <c r="AQ13">
        <v>0</v>
      </c>
      <c r="AR13">
        <v>0</v>
      </c>
      <c r="AS13">
        <v>0</v>
      </c>
      <c r="AU13">
        <v>2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1</v>
      </c>
      <c r="BB13">
        <v>13.9</v>
      </c>
      <c r="BC13">
        <v>11.6</v>
      </c>
      <c r="BD13">
        <v>148</v>
      </c>
      <c r="BE13">
        <v>66</v>
      </c>
      <c r="BF13">
        <v>2</v>
      </c>
      <c r="BG13">
        <v>47</v>
      </c>
      <c r="BH13">
        <v>129</v>
      </c>
      <c r="BI13">
        <v>98</v>
      </c>
      <c r="BJ13">
        <v>16</v>
      </c>
      <c r="BK13">
        <v>15</v>
      </c>
      <c r="BL13">
        <v>0.34</v>
      </c>
      <c r="BM13">
        <v>29</v>
      </c>
      <c r="BN13">
        <v>6.97</v>
      </c>
      <c r="BO13">
        <v>280</v>
      </c>
      <c r="BP13">
        <v>12</v>
      </c>
      <c r="BQ13">
        <v>3</v>
      </c>
      <c r="BR13">
        <v>1.6</v>
      </c>
      <c r="BS13">
        <v>67</v>
      </c>
      <c r="BT13">
        <v>231</v>
      </c>
      <c r="BU13">
        <v>506</v>
      </c>
      <c r="BV13">
        <v>185</v>
      </c>
      <c r="BW13">
        <v>965</v>
      </c>
      <c r="BX13">
        <v>117</v>
      </c>
      <c r="BY13" s="3">
        <v>45139</v>
      </c>
      <c r="BZ13">
        <v>12</v>
      </c>
      <c r="CA13">
        <v>51</v>
      </c>
      <c r="CB13">
        <v>4</v>
      </c>
      <c r="CC13">
        <v>1</v>
      </c>
      <c r="CD13">
        <v>0</v>
      </c>
      <c r="CE13">
        <v>1</v>
      </c>
      <c r="CF13">
        <v>0</v>
      </c>
      <c r="CG13">
        <v>0</v>
      </c>
      <c r="CH13">
        <v>2</v>
      </c>
      <c r="CI13">
        <v>11</v>
      </c>
      <c r="CJ13">
        <v>10.3</v>
      </c>
      <c r="CK13">
        <v>99</v>
      </c>
      <c r="CL13">
        <v>64</v>
      </c>
      <c r="CM13">
        <v>1.9</v>
      </c>
      <c r="CN13">
        <v>58</v>
      </c>
      <c r="CO13">
        <v>133</v>
      </c>
      <c r="CP13">
        <v>100</v>
      </c>
      <c r="CQ13">
        <v>19</v>
      </c>
      <c r="CR13" t="s">
        <v>282</v>
      </c>
      <c r="CS13" t="s">
        <v>282</v>
      </c>
      <c r="CT13" t="s">
        <v>282</v>
      </c>
      <c r="CU13">
        <v>7.25</v>
      </c>
      <c r="CV13">
        <v>114</v>
      </c>
      <c r="CW13">
        <v>16</v>
      </c>
      <c r="CX13">
        <v>7</v>
      </c>
      <c r="CY13">
        <v>0.8</v>
      </c>
      <c r="CZ13" t="s">
        <v>144</v>
      </c>
      <c r="DA13" t="s">
        <v>144</v>
      </c>
      <c r="DB13">
        <v>320</v>
      </c>
      <c r="DC13">
        <v>140</v>
      </c>
      <c r="DD13" t="s">
        <v>144</v>
      </c>
      <c r="DE13" t="s">
        <v>144</v>
      </c>
      <c r="DF13">
        <v>1</v>
      </c>
      <c r="DG13">
        <v>1</v>
      </c>
      <c r="DH13">
        <v>500</v>
      </c>
      <c r="DI13">
        <v>2000</v>
      </c>
      <c r="DJ13">
        <v>1</v>
      </c>
      <c r="DK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94</v>
      </c>
      <c r="DU13">
        <v>73</v>
      </c>
      <c r="DV13">
        <v>81</v>
      </c>
      <c r="DW13">
        <v>107</v>
      </c>
      <c r="DX13">
        <v>36.5</v>
      </c>
      <c r="DY13">
        <v>1</v>
      </c>
      <c r="DZ13">
        <v>0</v>
      </c>
      <c r="EA13">
        <v>0</v>
      </c>
      <c r="EB13">
        <v>0</v>
      </c>
      <c r="ED13">
        <v>0</v>
      </c>
      <c r="EE13">
        <v>2.8</v>
      </c>
      <c r="EF13">
        <v>30</v>
      </c>
      <c r="EG13">
        <v>15</v>
      </c>
      <c r="EH13">
        <v>50</v>
      </c>
      <c r="EI13">
        <v>0</v>
      </c>
      <c r="EJ13">
        <v>0</v>
      </c>
      <c r="EK13">
        <v>1</v>
      </c>
      <c r="EL13">
        <v>7.4</v>
      </c>
      <c r="EM13" t="s">
        <v>144</v>
      </c>
      <c r="EN13" t="s">
        <v>144</v>
      </c>
      <c r="EO13" t="s">
        <v>144</v>
      </c>
      <c r="EP13" t="s">
        <v>144</v>
      </c>
      <c r="EQ13">
        <v>1.35</v>
      </c>
      <c r="ER13">
        <v>391.51</v>
      </c>
      <c r="ES13">
        <v>16.100000000000001</v>
      </c>
      <c r="ET13">
        <v>329.6</v>
      </c>
      <c r="EU13">
        <v>434.4</v>
      </c>
      <c r="EV13">
        <v>93</v>
      </c>
      <c r="EW13">
        <v>74</v>
      </c>
      <c r="EX13">
        <v>82</v>
      </c>
      <c r="EY13">
        <v>109</v>
      </c>
      <c r="EZ13">
        <v>3.2</v>
      </c>
      <c r="FA13" t="s">
        <v>144</v>
      </c>
      <c r="FB13">
        <v>0</v>
      </c>
      <c r="FC13">
        <v>1.1000000000000001</v>
      </c>
      <c r="FD13">
        <v>472.22</v>
      </c>
      <c r="FH13">
        <v>91</v>
      </c>
      <c r="FI13">
        <v>71</v>
      </c>
      <c r="FJ13">
        <v>79</v>
      </c>
      <c r="FK13">
        <v>111</v>
      </c>
      <c r="FL13">
        <v>2.8</v>
      </c>
      <c r="FM13" t="s">
        <v>144</v>
      </c>
      <c r="FN13">
        <v>0</v>
      </c>
      <c r="FO13">
        <v>2.1</v>
      </c>
      <c r="FP13">
        <v>247.26</v>
      </c>
      <c r="FT13">
        <v>92</v>
      </c>
      <c r="FU13">
        <v>74</v>
      </c>
      <c r="FV13">
        <v>81</v>
      </c>
      <c r="FW13">
        <v>101</v>
      </c>
      <c r="FX13">
        <v>3.2</v>
      </c>
      <c r="GE13">
        <v>0</v>
      </c>
      <c r="GF13">
        <v>0.7</v>
      </c>
      <c r="GG13">
        <v>366.7</v>
      </c>
      <c r="GK13">
        <v>95</v>
      </c>
      <c r="GL13">
        <v>77</v>
      </c>
      <c r="GM13">
        <v>85</v>
      </c>
      <c r="GN13">
        <v>108</v>
      </c>
      <c r="GO13">
        <v>3</v>
      </c>
      <c r="GP13" t="s">
        <v>144</v>
      </c>
      <c r="GQ13">
        <v>0</v>
      </c>
      <c r="GR13">
        <v>1.05</v>
      </c>
      <c r="GS13">
        <v>304.64</v>
      </c>
      <c r="GW13">
        <v>100</v>
      </c>
      <c r="GX13">
        <v>77</v>
      </c>
      <c r="GY13">
        <v>86</v>
      </c>
      <c r="GZ13">
        <v>105</v>
      </c>
      <c r="HA13">
        <v>3.2</v>
      </c>
      <c r="HB13" t="s">
        <v>144</v>
      </c>
      <c r="HC13">
        <v>0</v>
      </c>
      <c r="HD13">
        <v>0.8</v>
      </c>
      <c r="HE13">
        <v>370.1</v>
      </c>
      <c r="HL13">
        <f t="shared" si="2"/>
        <v>80.710000000000036</v>
      </c>
      <c r="HM13" s="16">
        <f t="shared" si="3"/>
        <v>0.20615054532451288</v>
      </c>
      <c r="HN13">
        <f t="shared" si="4"/>
        <v>119.44</v>
      </c>
      <c r="HO13" s="16">
        <f t="shared" si="5"/>
        <v>0.48305427485238212</v>
      </c>
      <c r="HP13" s="26">
        <f t="shared" si="6"/>
        <v>38.729999999999961</v>
      </c>
      <c r="HQ13">
        <f>HE13-FP13</f>
        <v>122.84000000000003</v>
      </c>
      <c r="HR13" s="16">
        <f>HQ13/FP13</f>
        <v>0.49680498260939915</v>
      </c>
      <c r="HS13">
        <f>HE13-GG13</f>
        <v>3.4000000000000341</v>
      </c>
      <c r="HT13">
        <f t="shared" ref="HT13:HT18" si="7">EZ13-EE13</f>
        <v>0.40000000000000036</v>
      </c>
      <c r="HU13" s="28">
        <f t="shared" ref="HU13:HU18" si="8">(HT13/EE13)*100</f>
        <v>14.285714285714299</v>
      </c>
      <c r="HV13">
        <f>FX13-FL13</f>
        <v>0.40000000000000036</v>
      </c>
      <c r="HW13" s="29">
        <f>(HV13/FL13)*100</f>
        <v>14.285714285714299</v>
      </c>
    </row>
    <row r="14" spans="1:232" x14ac:dyDescent="0.35">
      <c r="A14" t="s">
        <v>287</v>
      </c>
      <c r="B14" t="s">
        <v>288</v>
      </c>
      <c r="C14" s="3">
        <v>24852</v>
      </c>
      <c r="D14" s="31">
        <v>20</v>
      </c>
      <c r="E14">
        <v>55</v>
      </c>
      <c r="F14">
        <v>37</v>
      </c>
      <c r="G14">
        <v>170</v>
      </c>
      <c r="H14">
        <f t="shared" si="0"/>
        <v>1.7</v>
      </c>
      <c r="I14">
        <f t="shared" si="1"/>
        <v>12.802768166089967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144</v>
      </c>
      <c r="AH14">
        <v>0</v>
      </c>
      <c r="AI14">
        <v>0</v>
      </c>
      <c r="AJ14">
        <v>0</v>
      </c>
      <c r="AK14">
        <v>0</v>
      </c>
      <c r="AL14" s="3">
        <v>45062</v>
      </c>
      <c r="AM14" t="s">
        <v>289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20</v>
      </c>
      <c r="AU14">
        <v>2</v>
      </c>
      <c r="AV14">
        <v>1</v>
      </c>
      <c r="AW14">
        <v>0</v>
      </c>
      <c r="AX14">
        <v>1</v>
      </c>
      <c r="AY14">
        <v>0</v>
      </c>
      <c r="AZ14">
        <v>0</v>
      </c>
      <c r="BA14">
        <v>0</v>
      </c>
      <c r="BY14" s="3">
        <v>45063</v>
      </c>
      <c r="BZ14">
        <v>12</v>
      </c>
      <c r="CA14">
        <v>37</v>
      </c>
      <c r="CB14">
        <v>2</v>
      </c>
      <c r="CC14">
        <v>1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15.3</v>
      </c>
      <c r="CJ14">
        <v>106</v>
      </c>
      <c r="CK14">
        <v>259</v>
      </c>
      <c r="CM14">
        <v>4.5</v>
      </c>
      <c r="CN14">
        <v>41</v>
      </c>
      <c r="CO14">
        <v>135</v>
      </c>
      <c r="CP14">
        <v>103</v>
      </c>
      <c r="CQ14">
        <v>7</v>
      </c>
      <c r="CR14">
        <v>194</v>
      </c>
      <c r="CS14">
        <v>76</v>
      </c>
      <c r="CT14" t="s">
        <v>144</v>
      </c>
      <c r="CU14">
        <v>7.46</v>
      </c>
      <c r="CV14">
        <v>102</v>
      </c>
      <c r="CW14">
        <v>29</v>
      </c>
      <c r="CX14">
        <v>21</v>
      </c>
      <c r="CY14">
        <v>1.8</v>
      </c>
      <c r="CZ14">
        <v>55</v>
      </c>
      <c r="DA14">
        <v>107</v>
      </c>
      <c r="DB14">
        <v>42</v>
      </c>
      <c r="DC14">
        <v>27</v>
      </c>
      <c r="DD14">
        <v>423</v>
      </c>
      <c r="DE14">
        <v>784</v>
      </c>
      <c r="DF14">
        <v>1</v>
      </c>
      <c r="DG14">
        <v>1</v>
      </c>
      <c r="DH14">
        <v>500</v>
      </c>
      <c r="DI14">
        <v>1500</v>
      </c>
      <c r="DJ14">
        <v>1</v>
      </c>
      <c r="DK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107</v>
      </c>
      <c r="DU14">
        <v>76</v>
      </c>
      <c r="DV14">
        <v>85</v>
      </c>
      <c r="DW14">
        <v>118</v>
      </c>
      <c r="DX14">
        <v>38.1</v>
      </c>
      <c r="DY14">
        <v>1</v>
      </c>
      <c r="DZ14">
        <v>0</v>
      </c>
      <c r="EA14">
        <v>0</v>
      </c>
      <c r="EB14">
        <v>0</v>
      </c>
      <c r="EC14">
        <v>21</v>
      </c>
      <c r="ED14">
        <v>0</v>
      </c>
      <c r="EE14">
        <v>4.2</v>
      </c>
      <c r="EF14">
        <v>50</v>
      </c>
      <c r="EG14">
        <v>13</v>
      </c>
      <c r="EH14">
        <v>100</v>
      </c>
      <c r="EI14">
        <v>0</v>
      </c>
      <c r="EJ14">
        <v>0</v>
      </c>
      <c r="EK14">
        <v>0.7</v>
      </c>
      <c r="EL14">
        <v>5.9</v>
      </c>
      <c r="EM14" t="s">
        <v>144</v>
      </c>
      <c r="EN14" t="s">
        <v>144</v>
      </c>
      <c r="EO14" t="s">
        <v>144</v>
      </c>
      <c r="EP14">
        <v>1</v>
      </c>
      <c r="EQ14">
        <v>3.59</v>
      </c>
      <c r="ER14">
        <v>5.95</v>
      </c>
      <c r="ES14">
        <v>1.1599999999999999</v>
      </c>
      <c r="ET14">
        <v>0.05</v>
      </c>
      <c r="EU14">
        <v>9.98</v>
      </c>
      <c r="EV14">
        <v>116</v>
      </c>
      <c r="EW14">
        <v>74</v>
      </c>
      <c r="EX14">
        <v>87</v>
      </c>
      <c r="EY14">
        <v>120</v>
      </c>
      <c r="EZ14">
        <v>4.4000000000000004</v>
      </c>
      <c r="FA14" t="s">
        <v>144</v>
      </c>
      <c r="FB14">
        <v>1</v>
      </c>
      <c r="FC14">
        <v>2.04</v>
      </c>
      <c r="FD14">
        <v>35.57</v>
      </c>
      <c r="FH14">
        <v>105</v>
      </c>
      <c r="FI14">
        <v>69</v>
      </c>
      <c r="FJ14">
        <v>80</v>
      </c>
      <c r="FK14">
        <v>118</v>
      </c>
      <c r="FL14">
        <v>4.2</v>
      </c>
      <c r="FM14" t="s">
        <v>144</v>
      </c>
      <c r="FN14">
        <v>1</v>
      </c>
      <c r="FO14">
        <v>3.1</v>
      </c>
      <c r="FP14">
        <v>10.29</v>
      </c>
      <c r="FT14">
        <v>113</v>
      </c>
      <c r="FU14">
        <v>73</v>
      </c>
      <c r="FV14">
        <v>86</v>
      </c>
      <c r="FW14">
        <v>124</v>
      </c>
      <c r="FX14">
        <v>4.4000000000000004</v>
      </c>
      <c r="GD14" t="s">
        <v>144</v>
      </c>
      <c r="GE14">
        <v>0</v>
      </c>
      <c r="GF14">
        <v>2.9</v>
      </c>
      <c r="GG14">
        <v>67.75</v>
      </c>
      <c r="GK14">
        <v>111</v>
      </c>
      <c r="GL14">
        <v>77</v>
      </c>
      <c r="GM14">
        <v>86</v>
      </c>
      <c r="GN14">
        <v>127</v>
      </c>
      <c r="GO14">
        <v>4.5</v>
      </c>
      <c r="GP14" t="s">
        <v>144</v>
      </c>
      <c r="GQ14">
        <v>0</v>
      </c>
      <c r="GR14">
        <v>1.65</v>
      </c>
      <c r="GS14">
        <v>43.37</v>
      </c>
      <c r="GW14">
        <v>99</v>
      </c>
      <c r="GX14">
        <v>67</v>
      </c>
      <c r="GY14">
        <v>75</v>
      </c>
      <c r="GZ14">
        <v>127</v>
      </c>
      <c r="HA14">
        <v>4.4000000000000004</v>
      </c>
      <c r="HB14" t="s">
        <v>144</v>
      </c>
      <c r="HC14">
        <v>0</v>
      </c>
      <c r="HD14">
        <v>1.7</v>
      </c>
      <c r="HE14">
        <v>96.59</v>
      </c>
      <c r="HI14">
        <v>0</v>
      </c>
      <c r="HJ14">
        <v>0</v>
      </c>
      <c r="HL14">
        <f t="shared" si="2"/>
        <v>29.62</v>
      </c>
      <c r="HM14" s="16">
        <f t="shared" si="3"/>
        <v>4.9781512605042018</v>
      </c>
      <c r="HN14">
        <f t="shared" si="4"/>
        <v>57.46</v>
      </c>
      <c r="HO14" s="16">
        <f t="shared" si="5"/>
        <v>5.5840621963070944</v>
      </c>
      <c r="HP14" s="26">
        <f t="shared" si="6"/>
        <v>27.84</v>
      </c>
      <c r="HQ14">
        <f>HE14-FP14</f>
        <v>86.300000000000011</v>
      </c>
      <c r="HR14" s="16">
        <f>HQ14/FP14</f>
        <v>8.3867832847424708</v>
      </c>
      <c r="HS14">
        <f>HE14-GG14</f>
        <v>28.840000000000003</v>
      </c>
      <c r="HT14">
        <f t="shared" si="7"/>
        <v>0.20000000000000018</v>
      </c>
      <c r="HU14" s="28">
        <f t="shared" si="8"/>
        <v>4.7619047619047654</v>
      </c>
      <c r="HV14">
        <f>FX14-FL14</f>
        <v>0.20000000000000018</v>
      </c>
      <c r="HW14" s="28">
        <f>(HV14/FL14)*100</f>
        <v>4.7619047619047654</v>
      </c>
    </row>
    <row r="15" spans="1:232" x14ac:dyDescent="0.35">
      <c r="A15" t="s">
        <v>196</v>
      </c>
      <c r="B15" t="s">
        <v>197</v>
      </c>
      <c r="C15" s="3">
        <v>34756</v>
      </c>
      <c r="D15" s="31">
        <v>16</v>
      </c>
      <c r="E15">
        <v>28</v>
      </c>
      <c r="F15">
        <v>107</v>
      </c>
      <c r="G15">
        <v>155</v>
      </c>
      <c r="H15">
        <f t="shared" si="0"/>
        <v>1.55</v>
      </c>
      <c r="I15">
        <f t="shared" si="1"/>
        <v>44.536940686784597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144</v>
      </c>
      <c r="AH15">
        <v>0</v>
      </c>
      <c r="AI15">
        <v>0</v>
      </c>
      <c r="AJ15">
        <v>0</v>
      </c>
      <c r="AK15">
        <v>0</v>
      </c>
      <c r="AL15" s="3">
        <v>44978</v>
      </c>
      <c r="AM15" t="s">
        <v>198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36</v>
      </c>
      <c r="AU15">
        <v>5</v>
      </c>
      <c r="AV15">
        <v>0</v>
      </c>
      <c r="AW15">
        <v>3</v>
      </c>
      <c r="AX15">
        <v>2</v>
      </c>
      <c r="AY15">
        <v>0</v>
      </c>
      <c r="AZ15">
        <v>0</v>
      </c>
      <c r="BA15">
        <v>0</v>
      </c>
      <c r="BB15">
        <v>16.07</v>
      </c>
      <c r="BC15">
        <v>9.3000000000000007</v>
      </c>
      <c r="BD15">
        <v>477</v>
      </c>
      <c r="BE15">
        <v>53</v>
      </c>
      <c r="BF15">
        <v>5.7</v>
      </c>
      <c r="BG15">
        <v>45</v>
      </c>
      <c r="BH15">
        <v>150</v>
      </c>
      <c r="BI15">
        <v>109</v>
      </c>
      <c r="BJ15">
        <v>12</v>
      </c>
      <c r="BK15">
        <v>620</v>
      </c>
      <c r="BL15">
        <v>15.37</v>
      </c>
      <c r="BM15" t="s">
        <v>144</v>
      </c>
      <c r="BN15">
        <v>7.54</v>
      </c>
      <c r="BO15">
        <v>47</v>
      </c>
      <c r="BP15">
        <v>75</v>
      </c>
      <c r="BQ15">
        <v>40</v>
      </c>
      <c r="BR15">
        <v>1.7</v>
      </c>
      <c r="BS15">
        <v>31</v>
      </c>
      <c r="BT15">
        <v>22</v>
      </c>
      <c r="BU15">
        <v>49</v>
      </c>
      <c r="BV15">
        <v>15</v>
      </c>
      <c r="BW15">
        <v>868</v>
      </c>
      <c r="BX15">
        <v>91</v>
      </c>
      <c r="BY15" s="3">
        <v>44948</v>
      </c>
      <c r="BZ15">
        <v>18</v>
      </c>
      <c r="CA15">
        <v>107</v>
      </c>
      <c r="CB15">
        <v>14</v>
      </c>
      <c r="CC15">
        <v>4</v>
      </c>
      <c r="CD15">
        <v>3</v>
      </c>
      <c r="CE15">
        <v>4</v>
      </c>
      <c r="CF15">
        <v>0</v>
      </c>
      <c r="CG15">
        <v>0</v>
      </c>
      <c r="CH15">
        <v>0</v>
      </c>
      <c r="CI15">
        <v>14.86</v>
      </c>
      <c r="CJ15">
        <v>8.9</v>
      </c>
      <c r="CK15">
        <v>488</v>
      </c>
      <c r="CL15">
        <v>53</v>
      </c>
      <c r="CM15">
        <v>4.9000000000000004</v>
      </c>
      <c r="CN15">
        <v>42</v>
      </c>
      <c r="CO15">
        <v>138</v>
      </c>
      <c r="CP15">
        <v>100</v>
      </c>
      <c r="CQ15">
        <v>12</v>
      </c>
      <c r="CR15" t="s">
        <v>144</v>
      </c>
      <c r="CS15" t="s">
        <v>144</v>
      </c>
      <c r="CT15" t="s">
        <v>144</v>
      </c>
      <c r="CU15">
        <v>7.39</v>
      </c>
      <c r="CV15">
        <v>57</v>
      </c>
      <c r="CW15">
        <v>46</v>
      </c>
      <c r="CX15">
        <v>28</v>
      </c>
      <c r="CY15">
        <v>2.2000000000000002</v>
      </c>
      <c r="CZ15">
        <v>59</v>
      </c>
      <c r="DA15" t="s">
        <v>144</v>
      </c>
      <c r="DB15">
        <v>43</v>
      </c>
      <c r="DC15">
        <v>11</v>
      </c>
      <c r="DD15">
        <v>835</v>
      </c>
      <c r="DE15">
        <v>107</v>
      </c>
      <c r="DF15">
        <v>3</v>
      </c>
      <c r="DG15">
        <v>2</v>
      </c>
      <c r="DH15">
        <v>100</v>
      </c>
      <c r="DI15">
        <v>500</v>
      </c>
      <c r="DJ15">
        <v>1</v>
      </c>
      <c r="DK15">
        <v>0</v>
      </c>
      <c r="DM15">
        <v>0</v>
      </c>
      <c r="DN15">
        <v>0</v>
      </c>
      <c r="DO15">
        <v>0</v>
      </c>
      <c r="DP15">
        <v>100</v>
      </c>
      <c r="DQ15">
        <v>0</v>
      </c>
      <c r="DR15">
        <v>0</v>
      </c>
      <c r="DS15">
        <v>0</v>
      </c>
      <c r="DT15">
        <v>151</v>
      </c>
      <c r="DU15">
        <v>83</v>
      </c>
      <c r="DV15">
        <v>105</v>
      </c>
      <c r="DW15">
        <v>148</v>
      </c>
      <c r="DX15">
        <v>39.5</v>
      </c>
      <c r="DY15">
        <v>0</v>
      </c>
      <c r="DZ15">
        <v>0</v>
      </c>
      <c r="EA15">
        <v>1</v>
      </c>
      <c r="EB15">
        <v>10</v>
      </c>
      <c r="EC15">
        <v>100</v>
      </c>
      <c r="ED15">
        <v>60</v>
      </c>
      <c r="EE15">
        <v>7.3</v>
      </c>
      <c r="EF15">
        <v>50</v>
      </c>
      <c r="EG15">
        <v>12</v>
      </c>
      <c r="EH15">
        <v>50</v>
      </c>
      <c r="EI15">
        <v>0</v>
      </c>
      <c r="EJ15">
        <v>0</v>
      </c>
      <c r="EK15">
        <v>0.8</v>
      </c>
      <c r="EL15">
        <v>9.5</v>
      </c>
      <c r="EM15">
        <v>14</v>
      </c>
      <c r="EN15" t="s">
        <v>144</v>
      </c>
      <c r="EO15">
        <v>5</v>
      </c>
      <c r="EP15">
        <v>0</v>
      </c>
      <c r="EQ15">
        <v>2.5299999999999998</v>
      </c>
      <c r="ER15">
        <v>34.72</v>
      </c>
      <c r="ES15">
        <v>4.83</v>
      </c>
      <c r="ET15">
        <v>21.27</v>
      </c>
      <c r="EU15">
        <v>53.47</v>
      </c>
      <c r="EV15">
        <v>144</v>
      </c>
      <c r="EW15">
        <v>80</v>
      </c>
      <c r="EX15">
        <v>99</v>
      </c>
      <c r="EY15">
        <v>148</v>
      </c>
      <c r="EZ15">
        <v>8.1999999999999993</v>
      </c>
      <c r="FA15">
        <v>18</v>
      </c>
      <c r="FB15">
        <v>0</v>
      </c>
      <c r="FC15">
        <v>1.55</v>
      </c>
      <c r="FD15">
        <v>91.04</v>
      </c>
      <c r="FE15">
        <v>31.12</v>
      </c>
      <c r="FF15">
        <v>20.72</v>
      </c>
      <c r="FG15">
        <v>156.91999999999999</v>
      </c>
      <c r="FH15">
        <v>144</v>
      </c>
      <c r="FI15">
        <v>86</v>
      </c>
      <c r="FJ15">
        <v>100</v>
      </c>
      <c r="FK15">
        <v>144</v>
      </c>
      <c r="FL15">
        <v>9</v>
      </c>
      <c r="FM15">
        <v>17</v>
      </c>
      <c r="FN15">
        <v>0</v>
      </c>
      <c r="FO15">
        <v>2.12</v>
      </c>
      <c r="FP15">
        <v>67.92</v>
      </c>
      <c r="FQ15">
        <v>22.51</v>
      </c>
      <c r="FR15">
        <v>26.15</v>
      </c>
      <c r="FS15">
        <v>112</v>
      </c>
      <c r="FT15">
        <v>143</v>
      </c>
      <c r="FU15">
        <v>76</v>
      </c>
      <c r="FV15">
        <v>97</v>
      </c>
      <c r="FW15">
        <v>136</v>
      </c>
      <c r="FX15">
        <v>7.4</v>
      </c>
      <c r="GD15">
        <v>12</v>
      </c>
      <c r="GE15">
        <v>0</v>
      </c>
      <c r="GF15">
        <v>1.32</v>
      </c>
      <c r="GG15">
        <v>209.74</v>
      </c>
      <c r="GH15">
        <v>11.86</v>
      </c>
      <c r="GI15">
        <v>175.48</v>
      </c>
      <c r="GJ15">
        <v>233.34</v>
      </c>
      <c r="HJ15">
        <v>1</v>
      </c>
      <c r="HL15">
        <f t="shared" si="2"/>
        <v>56.320000000000007</v>
      </c>
      <c r="HM15" s="16">
        <f t="shared" si="3"/>
        <v>1.6221198156682031</v>
      </c>
      <c r="HN15">
        <f t="shared" si="4"/>
        <v>141.82</v>
      </c>
      <c r="HO15" s="16">
        <f t="shared" si="5"/>
        <v>2.0880447585394579</v>
      </c>
      <c r="HP15" s="26">
        <f t="shared" si="6"/>
        <v>85.499999999999986</v>
      </c>
      <c r="HR15" s="16"/>
      <c r="HT15">
        <f t="shared" si="7"/>
        <v>0.89999999999999947</v>
      </c>
      <c r="HU15" s="28">
        <f t="shared" si="8"/>
        <v>12.328767123287664</v>
      </c>
      <c r="HV15">
        <f>FX15-FL15</f>
        <v>-1.5999999999999996</v>
      </c>
      <c r="HW15" s="28">
        <f>(HV15/FL15)*100</f>
        <v>-17.777777777777771</v>
      </c>
    </row>
    <row r="16" spans="1:232" x14ac:dyDescent="0.35">
      <c r="A16" t="s">
        <v>322</v>
      </c>
      <c r="B16" t="s">
        <v>323</v>
      </c>
      <c r="C16" s="3">
        <v>16157</v>
      </c>
      <c r="D16" s="31">
        <v>55</v>
      </c>
      <c r="E16">
        <v>79</v>
      </c>
      <c r="F16">
        <v>53</v>
      </c>
      <c r="G16">
        <v>170</v>
      </c>
      <c r="H16">
        <f t="shared" si="0"/>
        <v>1.7</v>
      </c>
      <c r="I16">
        <f t="shared" si="1"/>
        <v>18.339100346020764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 t="s">
        <v>144</v>
      </c>
      <c r="AL16" s="3">
        <v>45138</v>
      </c>
      <c r="AM16" t="s">
        <v>40</v>
      </c>
      <c r="AO16">
        <v>0</v>
      </c>
      <c r="AP16">
        <v>0</v>
      </c>
      <c r="AQ16">
        <v>0</v>
      </c>
      <c r="AR16">
        <v>1</v>
      </c>
      <c r="AS16">
        <v>0</v>
      </c>
      <c r="AU16">
        <v>4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2</v>
      </c>
      <c r="BB16">
        <v>0.75</v>
      </c>
      <c r="BC16">
        <v>7.4</v>
      </c>
      <c r="BD16">
        <v>62</v>
      </c>
      <c r="BE16">
        <v>53</v>
      </c>
      <c r="BF16">
        <v>5</v>
      </c>
      <c r="BG16">
        <v>61</v>
      </c>
      <c r="BH16">
        <v>133</v>
      </c>
      <c r="BI16">
        <v>100</v>
      </c>
      <c r="BJ16">
        <v>20</v>
      </c>
      <c r="BK16">
        <v>59</v>
      </c>
      <c r="BL16">
        <v>0.11</v>
      </c>
      <c r="BM16">
        <v>27.4</v>
      </c>
      <c r="BN16">
        <v>7.49</v>
      </c>
      <c r="BO16">
        <v>105</v>
      </c>
      <c r="BP16">
        <v>30</v>
      </c>
      <c r="BQ16">
        <v>23</v>
      </c>
      <c r="BR16">
        <v>0.8</v>
      </c>
      <c r="BU16">
        <v>18</v>
      </c>
      <c r="BV16">
        <v>29</v>
      </c>
      <c r="BW16">
        <v>452</v>
      </c>
      <c r="BX16">
        <v>32</v>
      </c>
      <c r="BY16" s="3">
        <v>45138</v>
      </c>
      <c r="BZ16">
        <v>1</v>
      </c>
      <c r="CA16">
        <v>53</v>
      </c>
      <c r="CB16">
        <v>4</v>
      </c>
      <c r="CC16">
        <v>1</v>
      </c>
      <c r="CD16">
        <v>0</v>
      </c>
      <c r="CE16">
        <v>0</v>
      </c>
      <c r="CF16">
        <v>0</v>
      </c>
      <c r="CG16">
        <v>1</v>
      </c>
      <c r="CH16">
        <v>2</v>
      </c>
      <c r="CI16">
        <v>0.75</v>
      </c>
      <c r="CJ16">
        <v>7.4</v>
      </c>
      <c r="CK16">
        <v>62</v>
      </c>
      <c r="CL16">
        <v>53</v>
      </c>
      <c r="CM16">
        <v>5</v>
      </c>
      <c r="CN16">
        <v>61</v>
      </c>
      <c r="CO16">
        <v>133</v>
      </c>
      <c r="CP16">
        <v>100</v>
      </c>
      <c r="CQ16">
        <v>20</v>
      </c>
      <c r="CR16">
        <v>59</v>
      </c>
      <c r="CS16">
        <v>0.11</v>
      </c>
      <c r="CT16">
        <v>27.4</v>
      </c>
      <c r="CU16">
        <v>7.49</v>
      </c>
      <c r="CV16">
        <v>105</v>
      </c>
      <c r="CW16">
        <v>30</v>
      </c>
      <c r="CX16">
        <v>23</v>
      </c>
      <c r="CY16">
        <v>0.8</v>
      </c>
      <c r="DB16">
        <v>18</v>
      </c>
      <c r="DC16">
        <v>29</v>
      </c>
      <c r="DD16">
        <v>452</v>
      </c>
      <c r="DE16">
        <v>32</v>
      </c>
      <c r="DF16">
        <v>1</v>
      </c>
      <c r="DG16">
        <v>2</v>
      </c>
      <c r="DH16">
        <v>100</v>
      </c>
      <c r="DI16">
        <v>500</v>
      </c>
      <c r="DJ16">
        <v>1</v>
      </c>
      <c r="DK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82</v>
      </c>
      <c r="DU16">
        <v>31</v>
      </c>
      <c r="DV16">
        <v>46</v>
      </c>
      <c r="DW16">
        <v>70</v>
      </c>
      <c r="DX16">
        <v>36.5</v>
      </c>
      <c r="DY16">
        <v>1</v>
      </c>
      <c r="DZ16">
        <v>0</v>
      </c>
      <c r="EA16">
        <v>0</v>
      </c>
      <c r="EB16">
        <v>0</v>
      </c>
      <c r="ED16">
        <v>0</v>
      </c>
      <c r="EE16">
        <v>3.5</v>
      </c>
      <c r="EF16">
        <v>50</v>
      </c>
      <c r="EG16">
        <v>13</v>
      </c>
      <c r="EH16">
        <v>100</v>
      </c>
      <c r="EI16">
        <v>0</v>
      </c>
      <c r="EJ16">
        <v>0</v>
      </c>
      <c r="EK16">
        <v>1</v>
      </c>
      <c r="EL16">
        <v>7</v>
      </c>
      <c r="EM16" t="s">
        <v>144</v>
      </c>
      <c r="EN16" t="s">
        <v>144</v>
      </c>
      <c r="EO16" t="s">
        <v>144</v>
      </c>
      <c r="EP16">
        <v>3</v>
      </c>
      <c r="EQ16">
        <v>2.7</v>
      </c>
      <c r="ER16">
        <v>33.119999999999997</v>
      </c>
      <c r="ES16">
        <v>25.8</v>
      </c>
      <c r="ET16">
        <v>17.8</v>
      </c>
      <c r="EU16">
        <v>260.7</v>
      </c>
      <c r="EV16">
        <v>93</v>
      </c>
      <c r="EW16">
        <v>37</v>
      </c>
      <c r="EX16">
        <v>58</v>
      </c>
      <c r="EY16">
        <v>87</v>
      </c>
      <c r="EZ16">
        <v>5.0999999999999996</v>
      </c>
      <c r="FA16" t="s">
        <v>144</v>
      </c>
      <c r="FB16">
        <v>3</v>
      </c>
      <c r="FC16">
        <v>1.98</v>
      </c>
      <c r="FD16">
        <v>46.23</v>
      </c>
      <c r="FH16">
        <v>104</v>
      </c>
      <c r="FI16">
        <v>46</v>
      </c>
      <c r="FJ16">
        <v>65</v>
      </c>
      <c r="FK16">
        <v>87</v>
      </c>
      <c r="FL16">
        <v>3.6</v>
      </c>
      <c r="FM16" t="s">
        <v>144</v>
      </c>
      <c r="FN16">
        <v>3</v>
      </c>
      <c r="FO16">
        <v>2.6</v>
      </c>
      <c r="FP16">
        <v>21.6</v>
      </c>
      <c r="FT16">
        <v>100</v>
      </c>
      <c r="FU16">
        <v>42</v>
      </c>
      <c r="FV16">
        <v>60</v>
      </c>
      <c r="FW16">
        <v>81</v>
      </c>
      <c r="FX16">
        <v>4.2</v>
      </c>
      <c r="GE16">
        <v>2</v>
      </c>
      <c r="GF16">
        <v>2.1</v>
      </c>
      <c r="GG16">
        <v>40.119999999999997</v>
      </c>
      <c r="GK16">
        <v>104</v>
      </c>
      <c r="GL16">
        <v>45</v>
      </c>
      <c r="GM16">
        <v>65</v>
      </c>
      <c r="GN16">
        <v>80</v>
      </c>
      <c r="GO16">
        <v>4</v>
      </c>
      <c r="GP16" t="s">
        <v>144</v>
      </c>
      <c r="GQ16">
        <v>2</v>
      </c>
      <c r="GR16">
        <v>2.8</v>
      </c>
      <c r="GS16">
        <v>21.02</v>
      </c>
      <c r="GW16">
        <v>103</v>
      </c>
      <c r="GX16">
        <v>43</v>
      </c>
      <c r="GY16">
        <v>64</v>
      </c>
      <c r="GZ16">
        <v>83</v>
      </c>
      <c r="HA16">
        <v>4.0999999999999996</v>
      </c>
      <c r="HC16">
        <v>2</v>
      </c>
      <c r="HD16">
        <v>2.5</v>
      </c>
      <c r="HE16">
        <v>27.2</v>
      </c>
      <c r="HL16">
        <f t="shared" si="2"/>
        <v>13.11</v>
      </c>
      <c r="HM16" s="16">
        <f t="shared" si="3"/>
        <v>0.39583333333333337</v>
      </c>
      <c r="HN16">
        <f t="shared" si="4"/>
        <v>18.519999999999996</v>
      </c>
      <c r="HO16" s="16">
        <f t="shared" si="5"/>
        <v>0.85740740740740717</v>
      </c>
      <c r="HP16" s="26">
        <f t="shared" si="6"/>
        <v>5.4099999999999966</v>
      </c>
      <c r="HQ16">
        <f>HE16-FP16</f>
        <v>5.5999999999999979</v>
      </c>
      <c r="HR16" s="16">
        <f>HQ16/FP16</f>
        <v>0.25925925925925913</v>
      </c>
      <c r="HS16">
        <f>HE16-GG16</f>
        <v>-12.919999999999998</v>
      </c>
      <c r="HT16">
        <f t="shared" si="7"/>
        <v>1.5999999999999996</v>
      </c>
      <c r="HU16" s="28">
        <f t="shared" si="8"/>
        <v>45.714285714285701</v>
      </c>
      <c r="HV16">
        <f>FX16-FL16</f>
        <v>0.60000000000000009</v>
      </c>
      <c r="HW16" s="29">
        <f>(HV16/FL16)*100</f>
        <v>16.666666666666668</v>
      </c>
    </row>
    <row r="17" spans="1:231" x14ac:dyDescent="0.35">
      <c r="A17" s="21" t="s">
        <v>279</v>
      </c>
      <c r="B17" s="21" t="s">
        <v>280</v>
      </c>
      <c r="C17" s="22">
        <v>26798</v>
      </c>
      <c r="D17" s="32">
        <v>95</v>
      </c>
      <c r="E17" s="21">
        <v>49</v>
      </c>
      <c r="F17" s="21">
        <v>100</v>
      </c>
      <c r="G17" s="21">
        <v>180</v>
      </c>
      <c r="H17">
        <f t="shared" si="0"/>
        <v>1.8</v>
      </c>
      <c r="I17">
        <f t="shared" si="1"/>
        <v>30.864197530864196</v>
      </c>
      <c r="J17" s="21">
        <v>0</v>
      </c>
      <c r="K17" s="21">
        <v>1</v>
      </c>
      <c r="L17" s="21"/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1</v>
      </c>
      <c r="T17" s="21">
        <v>0</v>
      </c>
      <c r="U17" s="21">
        <v>0</v>
      </c>
      <c r="V17" s="21">
        <v>0</v>
      </c>
      <c r="W17" s="21">
        <v>0</v>
      </c>
      <c r="X17" s="21">
        <v>1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1</v>
      </c>
      <c r="AF17" s="21">
        <v>0</v>
      </c>
      <c r="AG17" s="21" t="s">
        <v>144</v>
      </c>
      <c r="AH17" s="21">
        <v>0</v>
      </c>
      <c r="AI17" s="21">
        <v>0</v>
      </c>
      <c r="AJ17" s="21">
        <v>0</v>
      </c>
      <c r="AK17" s="21">
        <v>0</v>
      </c>
      <c r="AL17" s="22">
        <v>45050</v>
      </c>
      <c r="AM17" s="21" t="s">
        <v>281</v>
      </c>
      <c r="AN17" s="21"/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95</v>
      </c>
      <c r="AU17" s="21">
        <v>9</v>
      </c>
      <c r="AV17" s="21">
        <v>4</v>
      </c>
      <c r="AW17" s="21">
        <v>0</v>
      </c>
      <c r="AX17" s="21">
        <v>4</v>
      </c>
      <c r="AY17" s="21">
        <v>1</v>
      </c>
      <c r="AZ17" s="21">
        <v>0</v>
      </c>
      <c r="BA17" s="21">
        <v>0</v>
      </c>
      <c r="BB17" s="21">
        <v>11.3</v>
      </c>
      <c r="BC17" s="21">
        <v>8</v>
      </c>
      <c r="BD17" s="21">
        <v>185</v>
      </c>
      <c r="BE17" s="21">
        <v>76</v>
      </c>
      <c r="BF17" s="21">
        <v>7.2</v>
      </c>
      <c r="BG17" s="21">
        <v>128</v>
      </c>
      <c r="BH17" s="21">
        <v>144</v>
      </c>
      <c r="BI17" s="21">
        <v>116</v>
      </c>
      <c r="BJ17" s="21">
        <v>5</v>
      </c>
      <c r="BK17" s="21">
        <v>0</v>
      </c>
      <c r="BL17" s="21" t="s">
        <v>144</v>
      </c>
      <c r="BM17" s="21" t="s">
        <v>144</v>
      </c>
      <c r="BN17" s="21">
        <v>7.29</v>
      </c>
      <c r="BO17" s="21">
        <v>463</v>
      </c>
      <c r="BP17" s="21">
        <v>24</v>
      </c>
      <c r="BQ17" s="21">
        <v>12</v>
      </c>
      <c r="BR17" s="21">
        <v>5.0999999999999996</v>
      </c>
      <c r="BS17" s="21">
        <v>57</v>
      </c>
      <c r="BT17" s="21">
        <v>58</v>
      </c>
      <c r="BU17" s="21">
        <v>133</v>
      </c>
      <c r="BV17" s="21">
        <v>98</v>
      </c>
      <c r="BW17" s="21">
        <v>675</v>
      </c>
      <c r="BX17" s="21">
        <v>167</v>
      </c>
      <c r="BY17" s="22">
        <v>45050</v>
      </c>
      <c r="BZ17" s="21">
        <v>0</v>
      </c>
      <c r="CA17" s="21">
        <v>100</v>
      </c>
      <c r="CB17" s="21">
        <v>9</v>
      </c>
      <c r="CC17" s="21">
        <v>4</v>
      </c>
      <c r="CD17" s="21">
        <v>0</v>
      </c>
      <c r="CE17" s="21">
        <v>4</v>
      </c>
      <c r="CF17" s="21">
        <v>1</v>
      </c>
      <c r="CG17" s="21">
        <v>0</v>
      </c>
      <c r="CH17" s="21">
        <v>0</v>
      </c>
      <c r="CI17" s="21">
        <v>11.3</v>
      </c>
      <c r="CJ17" s="21">
        <v>8</v>
      </c>
      <c r="CK17" s="21">
        <v>185</v>
      </c>
      <c r="CL17" s="21">
        <v>76</v>
      </c>
      <c r="CM17" s="21">
        <v>7.2</v>
      </c>
      <c r="CN17" s="21">
        <v>128</v>
      </c>
      <c r="CO17" s="21">
        <v>144</v>
      </c>
      <c r="CP17" s="21">
        <v>116</v>
      </c>
      <c r="CQ17" s="21">
        <v>5</v>
      </c>
      <c r="CR17" s="21">
        <v>0</v>
      </c>
      <c r="CS17" s="21" t="s">
        <v>144</v>
      </c>
      <c r="CT17" s="21" t="s">
        <v>144</v>
      </c>
      <c r="CU17" s="21">
        <v>7.29</v>
      </c>
      <c r="CV17" s="21">
        <v>463</v>
      </c>
      <c r="CW17" s="21">
        <v>24</v>
      </c>
      <c r="CX17" s="21">
        <v>12</v>
      </c>
      <c r="CY17" s="21">
        <v>5.0999999999999996</v>
      </c>
      <c r="CZ17" s="21">
        <v>57</v>
      </c>
      <c r="DA17" s="21">
        <v>58</v>
      </c>
      <c r="DB17" s="21">
        <v>133</v>
      </c>
      <c r="DC17" s="21">
        <v>98</v>
      </c>
      <c r="DD17" s="21">
        <v>675</v>
      </c>
      <c r="DE17" s="21">
        <v>167</v>
      </c>
      <c r="DF17" s="21">
        <v>1</v>
      </c>
      <c r="DG17" s="21">
        <v>1</v>
      </c>
      <c r="DH17" s="21">
        <v>500</v>
      </c>
      <c r="DI17" s="21">
        <v>1000</v>
      </c>
      <c r="DJ17" s="21">
        <v>1</v>
      </c>
      <c r="DK17" s="21">
        <v>0</v>
      </c>
      <c r="DL17" s="21">
        <v>0.65</v>
      </c>
      <c r="DM17" s="21">
        <v>1</v>
      </c>
      <c r="DN17" s="21">
        <v>0</v>
      </c>
      <c r="DO17" s="21">
        <v>0</v>
      </c>
      <c r="DP17" s="21">
        <v>200</v>
      </c>
      <c r="DQ17" s="21">
        <v>15</v>
      </c>
      <c r="DR17" s="21">
        <v>0</v>
      </c>
      <c r="DS17" s="21">
        <v>0</v>
      </c>
      <c r="DT17" s="21">
        <v>103</v>
      </c>
      <c r="DU17" s="21">
        <v>54</v>
      </c>
      <c r="DV17" s="21">
        <v>76</v>
      </c>
      <c r="DW17" s="21">
        <v>87</v>
      </c>
      <c r="DX17" s="21">
        <v>34.9</v>
      </c>
      <c r="DY17" s="21">
        <v>0</v>
      </c>
      <c r="DZ17" s="21">
        <v>1</v>
      </c>
      <c r="EA17" s="21">
        <v>0</v>
      </c>
      <c r="EB17" s="21">
        <v>5</v>
      </c>
      <c r="EC17" s="21">
        <v>25</v>
      </c>
      <c r="ED17" s="21">
        <v>60</v>
      </c>
      <c r="EE17" s="21">
        <v>6.9</v>
      </c>
      <c r="EF17" s="21">
        <v>50</v>
      </c>
      <c r="EG17" s="21">
        <v>17</v>
      </c>
      <c r="EH17" s="21">
        <v>100</v>
      </c>
      <c r="EI17" s="21">
        <v>0</v>
      </c>
      <c r="EJ17" s="21">
        <v>0</v>
      </c>
      <c r="EK17" s="21">
        <v>1.4</v>
      </c>
      <c r="EL17" s="21">
        <v>4.9000000000000004</v>
      </c>
      <c r="EM17" s="21" t="s">
        <v>144</v>
      </c>
      <c r="EN17" s="21" t="s">
        <v>144</v>
      </c>
      <c r="EO17" s="21" t="s">
        <v>144</v>
      </c>
      <c r="EP17" s="21">
        <v>0</v>
      </c>
      <c r="EQ17" s="21">
        <v>1.6</v>
      </c>
      <c r="ER17" s="21">
        <v>44.56</v>
      </c>
      <c r="ES17" s="21">
        <v>7.95</v>
      </c>
      <c r="ET17" s="21">
        <v>29.8</v>
      </c>
      <c r="EU17" s="21">
        <v>65.3</v>
      </c>
      <c r="EV17" s="21">
        <v>122</v>
      </c>
      <c r="EW17" s="21">
        <v>67</v>
      </c>
      <c r="EX17" s="21">
        <v>91</v>
      </c>
      <c r="EY17" s="21">
        <v>86</v>
      </c>
      <c r="EZ17" s="21">
        <v>6.7</v>
      </c>
      <c r="FA17" s="21" t="s">
        <v>144</v>
      </c>
      <c r="FB17" s="21">
        <v>0</v>
      </c>
      <c r="FC17" s="21">
        <v>1.42</v>
      </c>
      <c r="FD17" s="21">
        <v>54.4</v>
      </c>
      <c r="FE17" s="21"/>
      <c r="FF17" s="21"/>
      <c r="FG17" s="21"/>
      <c r="FH17" s="21">
        <v>121</v>
      </c>
      <c r="FI17" s="21">
        <v>66</v>
      </c>
      <c r="FJ17" s="21">
        <v>91</v>
      </c>
      <c r="FK17" s="21">
        <v>88</v>
      </c>
      <c r="FL17" s="21">
        <v>7</v>
      </c>
      <c r="FM17" s="21" t="s">
        <v>144</v>
      </c>
      <c r="FN17" s="21">
        <v>0</v>
      </c>
      <c r="FO17" s="21">
        <v>1.6</v>
      </c>
      <c r="FP17" s="21">
        <v>36.21</v>
      </c>
      <c r="FQ17" s="21"/>
      <c r="FR17" s="21"/>
      <c r="FS17" s="21"/>
      <c r="FT17" s="21">
        <v>136</v>
      </c>
      <c r="FU17" s="21">
        <v>71</v>
      </c>
      <c r="FV17" s="21">
        <v>99</v>
      </c>
      <c r="FW17" s="21">
        <v>88</v>
      </c>
      <c r="FX17" s="21">
        <v>7.3</v>
      </c>
      <c r="FY17" s="21">
        <v>50</v>
      </c>
      <c r="FZ17" s="21">
        <v>1.2</v>
      </c>
      <c r="GA17" s="21">
        <v>5.4</v>
      </c>
      <c r="GB17" s="21">
        <v>17</v>
      </c>
      <c r="GC17" s="21">
        <v>0</v>
      </c>
      <c r="GD17" s="21" t="s">
        <v>144</v>
      </c>
      <c r="GE17" s="21">
        <v>0</v>
      </c>
      <c r="GF17" s="21">
        <v>1.17</v>
      </c>
      <c r="GG17" s="21">
        <v>96.47</v>
      </c>
      <c r="GH17" s="21"/>
      <c r="GI17" s="21"/>
      <c r="GJ17" s="21"/>
      <c r="GK17" s="21">
        <v>136</v>
      </c>
      <c r="GL17" s="21">
        <v>71</v>
      </c>
      <c r="GM17" s="21">
        <v>99</v>
      </c>
      <c r="GN17" s="21">
        <v>89</v>
      </c>
      <c r="GO17" s="21">
        <v>7</v>
      </c>
      <c r="GP17" s="21" t="s">
        <v>144</v>
      </c>
      <c r="GQ17" s="21">
        <v>0</v>
      </c>
      <c r="GR17" s="21">
        <v>1.44</v>
      </c>
      <c r="GS17" s="21">
        <v>85.34</v>
      </c>
      <c r="GT17" s="21"/>
      <c r="GU17" s="21"/>
      <c r="GV17" s="21"/>
      <c r="GW17" s="21">
        <v>129</v>
      </c>
      <c r="GX17" s="21">
        <v>66</v>
      </c>
      <c r="GY17" s="21">
        <v>93</v>
      </c>
      <c r="GZ17" s="21">
        <v>89</v>
      </c>
      <c r="HA17" s="21">
        <v>6.9</v>
      </c>
      <c r="HB17" s="21" t="s">
        <v>144</v>
      </c>
      <c r="HC17" s="21">
        <v>0</v>
      </c>
      <c r="HD17" s="21">
        <v>1.79</v>
      </c>
      <c r="HE17" s="21">
        <v>60.2</v>
      </c>
      <c r="HF17" s="21"/>
      <c r="HG17" s="21"/>
      <c r="HH17" s="21"/>
      <c r="HI17" s="21">
        <v>1</v>
      </c>
      <c r="HJ17" s="21">
        <v>1</v>
      </c>
      <c r="HK17" s="22">
        <v>45057</v>
      </c>
      <c r="HL17" s="21">
        <f t="shared" si="2"/>
        <v>9.8399999999999963</v>
      </c>
      <c r="HM17" s="23">
        <f t="shared" si="3"/>
        <v>0.22082585278276473</v>
      </c>
      <c r="HN17" s="21">
        <f t="shared" si="4"/>
        <v>60.26</v>
      </c>
      <c r="HO17" s="23">
        <f t="shared" si="5"/>
        <v>1.664181165423916</v>
      </c>
      <c r="HP17" s="26">
        <f t="shared" si="6"/>
        <v>50.42</v>
      </c>
      <c r="HQ17">
        <f>HE17-FP17</f>
        <v>23.990000000000002</v>
      </c>
      <c r="HR17" s="23">
        <f>HQ17/FP17</f>
        <v>0.66252416459541563</v>
      </c>
      <c r="HS17" s="21">
        <f>HE17-GG17</f>
        <v>-36.269999999999996</v>
      </c>
      <c r="HT17">
        <f t="shared" si="7"/>
        <v>-0.20000000000000018</v>
      </c>
      <c r="HU17" s="28">
        <f t="shared" si="8"/>
        <v>-2.8985507246376838</v>
      </c>
      <c r="HV17">
        <f>FX17-FL17</f>
        <v>0.29999999999999982</v>
      </c>
      <c r="HW17" s="28">
        <f>(HV17/FL17)*100</f>
        <v>4.2857142857142829</v>
      </c>
    </row>
    <row r="18" spans="1:231" x14ac:dyDescent="0.35">
      <c r="A18" t="s">
        <v>192</v>
      </c>
      <c r="B18" t="s">
        <v>193</v>
      </c>
      <c r="C18" s="3">
        <v>20637</v>
      </c>
      <c r="D18" s="31">
        <v>62</v>
      </c>
      <c r="E18">
        <v>66</v>
      </c>
      <c r="F18">
        <v>69</v>
      </c>
      <c r="G18">
        <v>176</v>
      </c>
      <c r="H18">
        <f t="shared" si="0"/>
        <v>1.76</v>
      </c>
      <c r="I18">
        <f t="shared" si="1"/>
        <v>22.275309917355372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144</v>
      </c>
      <c r="AH18">
        <v>0</v>
      </c>
      <c r="AI18">
        <v>0</v>
      </c>
      <c r="AJ18">
        <v>0</v>
      </c>
      <c r="AK18">
        <v>0</v>
      </c>
      <c r="AL18" s="3">
        <v>44953</v>
      </c>
      <c r="AM18" t="s">
        <v>194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58</v>
      </c>
      <c r="AU18">
        <v>11</v>
      </c>
      <c r="AV18">
        <v>4</v>
      </c>
      <c r="AW18">
        <v>0</v>
      </c>
      <c r="AX18">
        <v>1</v>
      </c>
      <c r="AY18">
        <v>4</v>
      </c>
      <c r="AZ18">
        <v>0</v>
      </c>
      <c r="BA18">
        <v>0</v>
      </c>
      <c r="BB18">
        <v>2.75</v>
      </c>
      <c r="BC18">
        <v>12.9</v>
      </c>
      <c r="BD18">
        <v>191</v>
      </c>
      <c r="BE18">
        <v>43</v>
      </c>
      <c r="BF18">
        <v>14.3</v>
      </c>
      <c r="BG18">
        <v>319</v>
      </c>
      <c r="BH18">
        <v>141</v>
      </c>
      <c r="BI18">
        <v>104</v>
      </c>
      <c r="BJ18">
        <v>7</v>
      </c>
      <c r="BK18">
        <v>290</v>
      </c>
      <c r="BL18">
        <v>148</v>
      </c>
      <c r="BM18" t="s">
        <v>144</v>
      </c>
      <c r="BN18">
        <v>7.26</v>
      </c>
      <c r="BO18">
        <v>224</v>
      </c>
      <c r="BP18">
        <v>32</v>
      </c>
      <c r="BQ18">
        <v>15</v>
      </c>
      <c r="BR18">
        <v>8</v>
      </c>
      <c r="BS18">
        <v>40</v>
      </c>
      <c r="BT18">
        <v>45</v>
      </c>
      <c r="BU18">
        <v>142</v>
      </c>
      <c r="BV18">
        <v>39</v>
      </c>
      <c r="BW18">
        <v>596</v>
      </c>
      <c r="BX18">
        <v>6260</v>
      </c>
      <c r="BY18" s="3">
        <v>44953</v>
      </c>
      <c r="BZ18">
        <v>7</v>
      </c>
      <c r="CA18">
        <v>69</v>
      </c>
      <c r="CB18">
        <v>11</v>
      </c>
      <c r="CC18">
        <v>4</v>
      </c>
      <c r="CD18">
        <v>2</v>
      </c>
      <c r="CE18">
        <v>1</v>
      </c>
      <c r="CF18">
        <v>4</v>
      </c>
      <c r="CG18">
        <v>0</v>
      </c>
      <c r="CH18">
        <v>0</v>
      </c>
      <c r="CI18">
        <v>3.28</v>
      </c>
      <c r="CJ18">
        <v>12.9</v>
      </c>
      <c r="CK18">
        <v>194</v>
      </c>
      <c r="CL18">
        <v>42</v>
      </c>
      <c r="CM18">
        <v>15.5</v>
      </c>
      <c r="CN18">
        <v>320</v>
      </c>
      <c r="CO18">
        <v>138</v>
      </c>
      <c r="CP18">
        <v>104</v>
      </c>
      <c r="CQ18">
        <v>10</v>
      </c>
      <c r="CR18">
        <v>290</v>
      </c>
      <c r="CS18">
        <v>148</v>
      </c>
      <c r="CT18" t="s">
        <v>144</v>
      </c>
      <c r="CU18">
        <v>7.02</v>
      </c>
      <c r="CV18">
        <v>206</v>
      </c>
      <c r="CW18">
        <v>27</v>
      </c>
      <c r="CX18">
        <v>8</v>
      </c>
      <c r="CY18">
        <v>14</v>
      </c>
      <c r="CZ18">
        <v>34</v>
      </c>
      <c r="DA18">
        <v>47</v>
      </c>
      <c r="DB18">
        <v>293</v>
      </c>
      <c r="DC18">
        <v>79</v>
      </c>
      <c r="DD18">
        <v>950</v>
      </c>
      <c r="DE18">
        <v>12750</v>
      </c>
      <c r="DF18">
        <v>1</v>
      </c>
      <c r="DG18">
        <v>1</v>
      </c>
      <c r="DH18">
        <v>500</v>
      </c>
      <c r="DI18">
        <v>4500</v>
      </c>
      <c r="DJ18">
        <v>1</v>
      </c>
      <c r="DK18">
        <v>2</v>
      </c>
      <c r="DL18">
        <v>0.4</v>
      </c>
      <c r="DM18">
        <v>1</v>
      </c>
      <c r="DN18">
        <v>0</v>
      </c>
      <c r="DO18">
        <v>0</v>
      </c>
      <c r="DP18">
        <v>50</v>
      </c>
      <c r="DQ18">
        <v>5</v>
      </c>
      <c r="DR18">
        <v>0</v>
      </c>
      <c r="DS18">
        <v>0</v>
      </c>
      <c r="DT18">
        <v>96</v>
      </c>
      <c r="DU18">
        <v>50</v>
      </c>
      <c r="DV18">
        <v>65</v>
      </c>
      <c r="DW18">
        <v>102</v>
      </c>
      <c r="DX18">
        <v>34.200000000000003</v>
      </c>
      <c r="DY18">
        <v>0</v>
      </c>
      <c r="DZ18">
        <v>0</v>
      </c>
      <c r="EA18">
        <v>1</v>
      </c>
      <c r="EB18">
        <v>5</v>
      </c>
      <c r="EC18">
        <v>100</v>
      </c>
      <c r="ED18">
        <v>60</v>
      </c>
      <c r="EE18">
        <v>2.8</v>
      </c>
      <c r="EF18">
        <v>40</v>
      </c>
      <c r="EG18">
        <v>9</v>
      </c>
      <c r="EH18">
        <v>50</v>
      </c>
      <c r="EI18">
        <v>0</v>
      </c>
      <c r="EJ18">
        <v>0</v>
      </c>
      <c r="EK18">
        <v>0.9</v>
      </c>
      <c r="EL18">
        <v>5.0999999999999996</v>
      </c>
      <c r="EM18">
        <v>19</v>
      </c>
      <c r="EN18" t="s">
        <v>144</v>
      </c>
      <c r="EO18">
        <v>8</v>
      </c>
      <c r="EP18">
        <v>5</v>
      </c>
      <c r="EQ18">
        <v>5.51</v>
      </c>
      <c r="ER18">
        <v>7.93</v>
      </c>
      <c r="ES18">
        <v>0.36</v>
      </c>
      <c r="ET18">
        <v>7.26</v>
      </c>
      <c r="EU18">
        <v>10.56</v>
      </c>
      <c r="EV18">
        <v>193</v>
      </c>
      <c r="EW18">
        <v>63</v>
      </c>
      <c r="EX18">
        <v>105</v>
      </c>
      <c r="EY18">
        <v>105</v>
      </c>
      <c r="EZ18">
        <v>4.5</v>
      </c>
      <c r="FA18">
        <v>20</v>
      </c>
      <c r="FB18">
        <v>3</v>
      </c>
      <c r="FC18">
        <v>3.17</v>
      </c>
      <c r="FD18">
        <v>15.02</v>
      </c>
      <c r="FE18">
        <v>9.57</v>
      </c>
      <c r="FF18">
        <v>7.66</v>
      </c>
      <c r="FG18">
        <v>90.09</v>
      </c>
      <c r="FH18" t="s">
        <v>144</v>
      </c>
      <c r="FI18" t="s">
        <v>144</v>
      </c>
      <c r="FJ18" t="s">
        <v>144</v>
      </c>
      <c r="FK18" t="s">
        <v>144</v>
      </c>
      <c r="FL18" t="s">
        <v>144</v>
      </c>
      <c r="FM18" t="s">
        <v>144</v>
      </c>
      <c r="FN18" t="s">
        <v>144</v>
      </c>
      <c r="FO18" t="s">
        <v>144</v>
      </c>
      <c r="FP18" t="s">
        <v>144</v>
      </c>
      <c r="FQ18" t="s">
        <v>144</v>
      </c>
      <c r="FR18" t="s">
        <v>144</v>
      </c>
      <c r="FS18" t="s">
        <v>144</v>
      </c>
      <c r="FT18">
        <v>138</v>
      </c>
      <c r="FU18">
        <v>47</v>
      </c>
      <c r="FV18">
        <v>77</v>
      </c>
      <c r="FW18">
        <v>109</v>
      </c>
      <c r="FX18">
        <v>5.6</v>
      </c>
      <c r="GD18">
        <v>10</v>
      </c>
      <c r="GE18">
        <v>0</v>
      </c>
      <c r="GF18">
        <v>2.58</v>
      </c>
      <c r="GG18">
        <v>26.06</v>
      </c>
      <c r="GH18">
        <v>1.8</v>
      </c>
      <c r="GI18">
        <v>22.9</v>
      </c>
      <c r="GJ18">
        <v>40.47</v>
      </c>
      <c r="HL18">
        <f t="shared" si="2"/>
        <v>7.09</v>
      </c>
      <c r="HM18" s="16">
        <f t="shared" si="3"/>
        <v>0.89407313997477933</v>
      </c>
      <c r="HN18">
        <f>GG18-FD18</f>
        <v>11.04</v>
      </c>
      <c r="HO18" s="16">
        <f>HN18/FD18</f>
        <v>0.73501997336884151</v>
      </c>
      <c r="HP18" s="26">
        <f t="shared" si="6"/>
        <v>3.9499999999999993</v>
      </c>
      <c r="HR18" s="16">
        <f>HQ18/FD18</f>
        <v>0</v>
      </c>
      <c r="HS18">
        <f>HE18-GG18</f>
        <v>-26.06</v>
      </c>
      <c r="HT18">
        <f t="shared" si="7"/>
        <v>1.7000000000000002</v>
      </c>
      <c r="HU18" s="28">
        <f t="shared" si="8"/>
        <v>60.714285714285722</v>
      </c>
      <c r="HW18" s="28"/>
    </row>
    <row r="20" spans="1:231" x14ac:dyDescent="0.35">
      <c r="A20" s="21" t="s">
        <v>235</v>
      </c>
      <c r="B20" s="21" t="s">
        <v>236</v>
      </c>
      <c r="C20" s="22">
        <v>20460</v>
      </c>
      <c r="D20" s="32">
        <v>77</v>
      </c>
      <c r="E20" s="21">
        <v>67</v>
      </c>
      <c r="F20" s="21">
        <v>75</v>
      </c>
      <c r="G20" s="21">
        <v>164</v>
      </c>
      <c r="H20">
        <f t="shared" ref="H20:H29" si="9">G20/100</f>
        <v>1.64</v>
      </c>
      <c r="I20">
        <f t="shared" ref="I20:I29" si="10">F20/(H20*H20)</f>
        <v>27.885187388459254</v>
      </c>
      <c r="J20" s="21">
        <v>1</v>
      </c>
      <c r="K20" s="21">
        <v>0</v>
      </c>
      <c r="L20" s="21">
        <v>0</v>
      </c>
      <c r="M20" s="21">
        <v>0</v>
      </c>
      <c r="N20" s="21">
        <v>1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1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 t="s">
        <v>144</v>
      </c>
      <c r="AH20" s="21">
        <v>0</v>
      </c>
      <c r="AI20" s="21">
        <v>0</v>
      </c>
      <c r="AJ20" s="21">
        <v>0</v>
      </c>
      <c r="AK20" s="21">
        <v>0</v>
      </c>
      <c r="AL20" s="22">
        <v>45005</v>
      </c>
      <c r="AM20" s="21" t="s">
        <v>38</v>
      </c>
      <c r="AN20" s="21"/>
      <c r="AO20" s="21">
        <v>1</v>
      </c>
      <c r="AP20" s="21">
        <v>1</v>
      </c>
      <c r="AQ20" s="21">
        <v>0</v>
      </c>
      <c r="AR20" s="21">
        <v>0</v>
      </c>
      <c r="AS20" s="21">
        <v>0</v>
      </c>
      <c r="AT20" s="21">
        <v>87</v>
      </c>
      <c r="AU20" s="21">
        <v>10</v>
      </c>
      <c r="AV20" s="21">
        <v>4</v>
      </c>
      <c r="AW20" s="21">
        <v>0</v>
      </c>
      <c r="AX20" s="21">
        <v>3</v>
      </c>
      <c r="AY20" s="21">
        <v>4</v>
      </c>
      <c r="AZ20" s="21">
        <v>0</v>
      </c>
      <c r="BA20" s="21">
        <v>0</v>
      </c>
      <c r="BB20" s="21">
        <v>22.92</v>
      </c>
      <c r="BC20" s="21">
        <v>11.2</v>
      </c>
      <c r="BD20" s="21">
        <v>486</v>
      </c>
      <c r="BE20" s="21">
        <v>61</v>
      </c>
      <c r="BF20" s="21">
        <v>28</v>
      </c>
      <c r="BG20" s="21">
        <v>482</v>
      </c>
      <c r="BH20" s="21">
        <v>131</v>
      </c>
      <c r="BI20" s="21">
        <v>92</v>
      </c>
      <c r="BJ20" s="21">
        <v>5</v>
      </c>
      <c r="BK20" s="21" t="s">
        <v>144</v>
      </c>
      <c r="BL20" s="21" t="s">
        <v>144</v>
      </c>
      <c r="BM20" s="21" t="s">
        <v>144</v>
      </c>
      <c r="BN20" s="21">
        <v>7.07</v>
      </c>
      <c r="BO20" s="21">
        <v>397</v>
      </c>
      <c r="BP20" s="21">
        <v>31</v>
      </c>
      <c r="BQ20" s="21">
        <v>8</v>
      </c>
      <c r="BR20" s="21">
        <v>15.9</v>
      </c>
      <c r="BS20" s="21">
        <v>55</v>
      </c>
      <c r="BT20" s="21">
        <v>80</v>
      </c>
      <c r="BU20" s="21">
        <v>55</v>
      </c>
      <c r="BV20" s="21">
        <v>28</v>
      </c>
      <c r="BW20" s="21">
        <v>911</v>
      </c>
      <c r="BX20" s="21">
        <v>613</v>
      </c>
      <c r="BY20" s="22">
        <v>45015</v>
      </c>
      <c r="BZ20" s="21">
        <v>72</v>
      </c>
      <c r="CA20" s="21">
        <v>72</v>
      </c>
      <c r="CB20" s="21">
        <v>11</v>
      </c>
      <c r="CC20" s="21">
        <v>4</v>
      </c>
      <c r="CD20" s="21">
        <v>3</v>
      </c>
      <c r="CE20" s="21">
        <v>4</v>
      </c>
      <c r="CF20" s="21">
        <v>0</v>
      </c>
      <c r="CG20" s="21">
        <v>0</v>
      </c>
      <c r="CH20" s="21">
        <v>0</v>
      </c>
      <c r="CI20" s="21">
        <v>12.56</v>
      </c>
      <c r="CJ20" s="21">
        <v>8.8000000000000007</v>
      </c>
      <c r="CK20" s="21">
        <v>392</v>
      </c>
      <c r="CL20" s="21">
        <v>65</v>
      </c>
      <c r="CM20" s="21">
        <v>10</v>
      </c>
      <c r="CN20" s="21">
        <v>94</v>
      </c>
      <c r="CO20" s="21">
        <v>143</v>
      </c>
      <c r="CP20" s="21">
        <v>104</v>
      </c>
      <c r="CQ20" s="21">
        <v>9</v>
      </c>
      <c r="CR20" s="21" t="s">
        <v>268</v>
      </c>
      <c r="CS20" s="21" t="s">
        <v>74</v>
      </c>
      <c r="CT20" s="21" t="s">
        <v>268</v>
      </c>
      <c r="CU20" s="21">
        <v>7.51</v>
      </c>
      <c r="CV20" s="21">
        <v>70</v>
      </c>
      <c r="CW20" s="21">
        <v>33</v>
      </c>
      <c r="CX20" s="21">
        <v>26</v>
      </c>
      <c r="CY20" s="21">
        <v>2.7</v>
      </c>
      <c r="CZ20" s="21">
        <v>68</v>
      </c>
      <c r="DA20" s="21" t="s">
        <v>144</v>
      </c>
      <c r="DB20" s="21">
        <v>47</v>
      </c>
      <c r="DC20" s="21">
        <v>19</v>
      </c>
      <c r="DD20" s="21" t="s">
        <v>144</v>
      </c>
      <c r="DE20" s="21" t="s">
        <v>144</v>
      </c>
      <c r="DF20" s="21">
        <v>3</v>
      </c>
      <c r="DG20" s="21">
        <v>1</v>
      </c>
      <c r="DH20" s="21">
        <v>500</v>
      </c>
      <c r="DI20" s="21"/>
      <c r="DJ20" s="21">
        <v>0</v>
      </c>
      <c r="DK20" s="21">
        <v>0</v>
      </c>
      <c r="DL20" s="21">
        <v>0.1</v>
      </c>
      <c r="DM20" s="21">
        <v>1</v>
      </c>
      <c r="DN20" s="21">
        <v>0</v>
      </c>
      <c r="DO20" s="21">
        <v>0</v>
      </c>
      <c r="DP20" s="21">
        <v>0</v>
      </c>
      <c r="DQ20" s="21">
        <v>0</v>
      </c>
      <c r="DR20" s="21">
        <v>0</v>
      </c>
      <c r="DS20" s="21">
        <v>0</v>
      </c>
      <c r="DT20" s="21">
        <v>114</v>
      </c>
      <c r="DU20" s="21">
        <v>56</v>
      </c>
      <c r="DV20" s="21">
        <v>73</v>
      </c>
      <c r="DW20" s="21">
        <v>123</v>
      </c>
      <c r="DX20" s="21">
        <v>39</v>
      </c>
      <c r="DY20" s="21">
        <v>0</v>
      </c>
      <c r="DZ20" s="21">
        <v>1</v>
      </c>
      <c r="EA20" s="21">
        <v>0</v>
      </c>
      <c r="EB20" s="21">
        <v>5</v>
      </c>
      <c r="EC20" s="21">
        <v>40</v>
      </c>
      <c r="ED20" s="21">
        <v>60</v>
      </c>
      <c r="EE20" s="21">
        <v>5.8</v>
      </c>
      <c r="EF20" s="21">
        <v>50</v>
      </c>
      <c r="EG20" s="21">
        <v>8</v>
      </c>
      <c r="EH20" s="21">
        <v>100</v>
      </c>
      <c r="EI20" s="21">
        <v>0</v>
      </c>
      <c r="EJ20" s="21">
        <v>0</v>
      </c>
      <c r="EK20" s="21">
        <v>0.7</v>
      </c>
      <c r="EL20" s="21">
        <v>5.6</v>
      </c>
      <c r="EM20" s="21">
        <v>16</v>
      </c>
      <c r="EN20" s="21" t="s">
        <v>144</v>
      </c>
      <c r="EO20" s="21" t="s">
        <v>144</v>
      </c>
      <c r="EP20" s="21">
        <v>0</v>
      </c>
      <c r="EQ20" s="21">
        <v>1.1000000000000001</v>
      </c>
      <c r="ER20" s="21">
        <v>260.93</v>
      </c>
      <c r="ES20" s="21">
        <v>8.4600000000000009</v>
      </c>
      <c r="ET20" s="21">
        <v>235.13</v>
      </c>
      <c r="EU20" s="21">
        <v>293.52</v>
      </c>
      <c r="EV20" s="21">
        <v>122</v>
      </c>
      <c r="EW20" s="21">
        <v>55</v>
      </c>
      <c r="EX20" s="21">
        <v>73</v>
      </c>
      <c r="EY20" s="21">
        <v>128</v>
      </c>
      <c r="EZ20" s="21">
        <v>6.6</v>
      </c>
      <c r="FA20" s="21">
        <v>12</v>
      </c>
      <c r="FB20" s="21">
        <v>0</v>
      </c>
      <c r="FC20" s="21">
        <v>0.9</v>
      </c>
      <c r="FD20" s="21">
        <v>285</v>
      </c>
      <c r="FE20" s="21"/>
      <c r="FF20" s="21"/>
      <c r="FG20" s="21"/>
      <c r="FH20" s="21">
        <v>109</v>
      </c>
      <c r="FI20" s="21">
        <v>53</v>
      </c>
      <c r="FJ20" s="21">
        <v>69</v>
      </c>
      <c r="FK20" s="21">
        <v>123</v>
      </c>
      <c r="FL20" s="21">
        <v>6.1</v>
      </c>
      <c r="FM20" s="21">
        <v>14</v>
      </c>
      <c r="FN20" s="21">
        <v>0</v>
      </c>
      <c r="FO20" s="21">
        <v>1.05</v>
      </c>
      <c r="FP20" s="21">
        <v>236</v>
      </c>
      <c r="FQ20" s="21"/>
      <c r="FR20" s="21"/>
      <c r="FS20" s="21"/>
      <c r="FT20" s="21">
        <v>114</v>
      </c>
      <c r="FU20" s="21">
        <v>55</v>
      </c>
      <c r="FV20" s="21">
        <v>73</v>
      </c>
      <c r="FW20" s="21">
        <v>117</v>
      </c>
      <c r="FX20" s="21">
        <v>6.1</v>
      </c>
      <c r="FY20" s="21">
        <v>60</v>
      </c>
      <c r="FZ20" s="21">
        <v>12</v>
      </c>
      <c r="GA20" s="21">
        <v>50</v>
      </c>
      <c r="GB20" s="21">
        <v>0.7</v>
      </c>
      <c r="GC20" s="21">
        <v>5.0999999999999996</v>
      </c>
      <c r="GD20" s="21">
        <v>10</v>
      </c>
      <c r="GE20" s="21">
        <v>0</v>
      </c>
      <c r="GF20" s="21">
        <v>0.8</v>
      </c>
      <c r="GG20" s="21">
        <v>366.76</v>
      </c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>
        <f t="shared" ref="HL20:HL29" si="11">FD20-ER20</f>
        <v>24.069999999999993</v>
      </c>
      <c r="HM20" s="23">
        <f t="shared" ref="HM20:HM29" si="12">HL20/ER20</f>
        <v>9.2246962786954323E-2</v>
      </c>
      <c r="HN20" s="21">
        <f t="shared" ref="HN20:HN29" si="13">GG20-FP20</f>
        <v>130.76</v>
      </c>
      <c r="HO20" s="23">
        <f t="shared" ref="HO20:HO29" si="14">HN20/FP20</f>
        <v>0.55406779661016947</v>
      </c>
      <c r="HP20" s="26">
        <f t="shared" ref="HP20:HP29" si="15">HN20-HL20</f>
        <v>106.69</v>
      </c>
      <c r="HR20" s="23"/>
      <c r="HS20" s="21"/>
      <c r="HT20">
        <f>EZ20-EE20</f>
        <v>0.79999999999999982</v>
      </c>
      <c r="HU20" s="28">
        <f>(HT20/EE20)*100</f>
        <v>13.793103448275859</v>
      </c>
      <c r="HV20">
        <f>FX20-FL20</f>
        <v>0</v>
      </c>
      <c r="HW20" s="28">
        <f>(HV20/FL20)*100</f>
        <v>0</v>
      </c>
    </row>
    <row r="21" spans="1:231" x14ac:dyDescent="0.35">
      <c r="A21" t="s">
        <v>235</v>
      </c>
      <c r="B21" t="s">
        <v>236</v>
      </c>
      <c r="C21" s="3">
        <v>20460</v>
      </c>
      <c r="D21" s="31">
        <v>77</v>
      </c>
      <c r="E21">
        <v>67</v>
      </c>
      <c r="F21">
        <v>75</v>
      </c>
      <c r="G21">
        <v>164</v>
      </c>
      <c r="H21">
        <f t="shared" si="9"/>
        <v>1.64</v>
      </c>
      <c r="I21">
        <f t="shared" si="10"/>
        <v>27.885187388459254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144</v>
      </c>
      <c r="AH21">
        <v>0</v>
      </c>
      <c r="AI21">
        <v>0</v>
      </c>
      <c r="AJ21">
        <v>0</v>
      </c>
      <c r="AK21">
        <v>0</v>
      </c>
      <c r="AL21" s="3">
        <v>45005</v>
      </c>
      <c r="AM21" t="s">
        <v>38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87</v>
      </c>
      <c r="AU21">
        <v>10</v>
      </c>
      <c r="AV21">
        <v>4</v>
      </c>
      <c r="AW21">
        <v>0</v>
      </c>
      <c r="AX21">
        <v>3</v>
      </c>
      <c r="AY21">
        <v>4</v>
      </c>
      <c r="AZ21">
        <v>0</v>
      </c>
      <c r="BA21">
        <v>0</v>
      </c>
      <c r="BB21">
        <v>22.92</v>
      </c>
      <c r="BC21">
        <v>11.2</v>
      </c>
      <c r="BD21">
        <v>486</v>
      </c>
      <c r="BE21">
        <v>61</v>
      </c>
      <c r="BF21">
        <v>28</v>
      </c>
      <c r="BG21">
        <v>482</v>
      </c>
      <c r="BH21">
        <v>131</v>
      </c>
      <c r="BI21">
        <v>92</v>
      </c>
      <c r="BJ21">
        <v>5</v>
      </c>
      <c r="BK21" t="s">
        <v>144</v>
      </c>
      <c r="BL21" t="s">
        <v>144</v>
      </c>
      <c r="BM21" t="s">
        <v>144</v>
      </c>
      <c r="BN21">
        <v>7.07</v>
      </c>
      <c r="BO21">
        <v>397</v>
      </c>
      <c r="BP21">
        <v>31</v>
      </c>
      <c r="BQ21">
        <v>8</v>
      </c>
      <c r="BR21">
        <v>15.9</v>
      </c>
      <c r="BS21">
        <v>55</v>
      </c>
      <c r="BT21">
        <v>80</v>
      </c>
      <c r="BU21">
        <v>55</v>
      </c>
      <c r="BV21">
        <v>28</v>
      </c>
      <c r="BW21">
        <v>911</v>
      </c>
      <c r="BX21">
        <v>613</v>
      </c>
      <c r="BY21" s="3">
        <v>45005</v>
      </c>
      <c r="BZ21">
        <v>5</v>
      </c>
      <c r="CA21">
        <v>75</v>
      </c>
      <c r="CB21">
        <v>10</v>
      </c>
      <c r="CC21">
        <v>4</v>
      </c>
      <c r="CD21">
        <v>0</v>
      </c>
      <c r="CE21">
        <v>3</v>
      </c>
      <c r="CF21">
        <v>4</v>
      </c>
      <c r="CG21">
        <v>0</v>
      </c>
      <c r="CH21">
        <v>0</v>
      </c>
      <c r="CI21">
        <v>22.92</v>
      </c>
      <c r="CJ21">
        <v>11.2</v>
      </c>
      <c r="CK21">
        <v>486</v>
      </c>
      <c r="CL21">
        <v>61</v>
      </c>
      <c r="CM21">
        <v>28</v>
      </c>
      <c r="CN21">
        <v>482</v>
      </c>
      <c r="CO21">
        <v>131</v>
      </c>
      <c r="CP21">
        <v>92</v>
      </c>
      <c r="CQ21">
        <v>5</v>
      </c>
      <c r="CR21" t="s">
        <v>144</v>
      </c>
      <c r="CS21" t="s">
        <v>144</v>
      </c>
      <c r="CT21" t="s">
        <v>144</v>
      </c>
      <c r="CU21">
        <v>7.07</v>
      </c>
      <c r="CV21">
        <v>397</v>
      </c>
      <c r="CW21">
        <v>31</v>
      </c>
      <c r="CX21">
        <v>8</v>
      </c>
      <c r="CY21">
        <v>15.9</v>
      </c>
      <c r="CZ21">
        <v>55</v>
      </c>
      <c r="DA21">
        <v>80</v>
      </c>
      <c r="DB21">
        <v>55</v>
      </c>
      <c r="DC21">
        <v>28</v>
      </c>
      <c r="DD21">
        <v>911</v>
      </c>
      <c r="DE21">
        <v>613</v>
      </c>
      <c r="DF21">
        <v>1</v>
      </c>
      <c r="DG21">
        <v>2</v>
      </c>
      <c r="DH21">
        <v>100</v>
      </c>
      <c r="DI21">
        <v>1000</v>
      </c>
      <c r="DJ21">
        <v>1</v>
      </c>
      <c r="DK21">
        <v>0</v>
      </c>
      <c r="DL21">
        <v>0.3</v>
      </c>
      <c r="DM21">
        <v>1</v>
      </c>
      <c r="DN21">
        <v>0</v>
      </c>
      <c r="DO21">
        <v>0</v>
      </c>
      <c r="DP21">
        <v>0</v>
      </c>
      <c r="DQ21">
        <v>3</v>
      </c>
      <c r="DR21">
        <v>0</v>
      </c>
      <c r="DS21">
        <v>0</v>
      </c>
      <c r="DT21">
        <v>135</v>
      </c>
      <c r="DU21">
        <v>56</v>
      </c>
      <c r="DV21">
        <v>72</v>
      </c>
      <c r="DW21">
        <v>121</v>
      </c>
      <c r="DX21" t="s">
        <v>239</v>
      </c>
      <c r="DY21">
        <v>0</v>
      </c>
      <c r="DZ21">
        <v>1</v>
      </c>
      <c r="EA21">
        <v>0</v>
      </c>
      <c r="EB21">
        <v>4</v>
      </c>
      <c r="EC21">
        <v>30</v>
      </c>
      <c r="ED21">
        <v>60</v>
      </c>
      <c r="EE21">
        <v>4.5999999999999996</v>
      </c>
      <c r="EF21">
        <v>50</v>
      </c>
      <c r="EG21">
        <v>12</v>
      </c>
      <c r="EH21">
        <v>50</v>
      </c>
      <c r="EI21">
        <v>1</v>
      </c>
      <c r="EJ21">
        <v>0</v>
      </c>
      <c r="EK21" t="s">
        <v>241</v>
      </c>
      <c r="EL21" t="s">
        <v>242</v>
      </c>
      <c r="EM21" t="s">
        <v>144</v>
      </c>
      <c r="EN21" t="s">
        <v>144</v>
      </c>
      <c r="EO21" t="s">
        <v>144</v>
      </c>
      <c r="EP21">
        <v>1</v>
      </c>
      <c r="EQ21">
        <v>4.3499999999999996</v>
      </c>
      <c r="ER21">
        <v>12.3</v>
      </c>
      <c r="ES21" t="s">
        <v>244</v>
      </c>
      <c r="ET21" t="s">
        <v>245</v>
      </c>
      <c r="EU21" t="s">
        <v>246</v>
      </c>
      <c r="EV21">
        <v>120</v>
      </c>
      <c r="EW21">
        <v>64</v>
      </c>
      <c r="EX21">
        <v>77</v>
      </c>
      <c r="EY21">
        <v>120</v>
      </c>
      <c r="EZ21">
        <v>5.2</v>
      </c>
      <c r="FA21" t="s">
        <v>144</v>
      </c>
      <c r="FB21">
        <v>1</v>
      </c>
      <c r="FC21" t="s">
        <v>217</v>
      </c>
      <c r="FD21">
        <v>15.3</v>
      </c>
      <c r="FH21">
        <v>127</v>
      </c>
      <c r="FI21">
        <v>53</v>
      </c>
      <c r="FJ21">
        <v>70</v>
      </c>
      <c r="FK21">
        <v>119</v>
      </c>
      <c r="FL21">
        <v>4</v>
      </c>
      <c r="FM21" t="s">
        <v>144</v>
      </c>
      <c r="FN21">
        <v>1</v>
      </c>
      <c r="FO21">
        <v>5.1100000000000003</v>
      </c>
      <c r="FP21">
        <v>9.9</v>
      </c>
      <c r="FQ21" t="s">
        <v>249</v>
      </c>
      <c r="FR21" t="s">
        <v>250</v>
      </c>
      <c r="FS21" t="s">
        <v>251</v>
      </c>
      <c r="FT21">
        <v>115</v>
      </c>
      <c r="FU21">
        <v>52</v>
      </c>
      <c r="FV21">
        <v>69</v>
      </c>
      <c r="FW21">
        <v>117</v>
      </c>
      <c r="FX21">
        <v>5.0999999999999996</v>
      </c>
      <c r="GD21">
        <v>5</v>
      </c>
      <c r="GE21">
        <v>1</v>
      </c>
      <c r="GF21" t="s">
        <v>252</v>
      </c>
      <c r="GG21">
        <v>14.2</v>
      </c>
      <c r="GH21" t="s">
        <v>227</v>
      </c>
      <c r="GI21" t="s">
        <v>253</v>
      </c>
      <c r="GJ21" t="s">
        <v>254</v>
      </c>
      <c r="HI21">
        <v>1</v>
      </c>
      <c r="HJ21">
        <v>1</v>
      </c>
      <c r="HK21" s="3">
        <v>45028</v>
      </c>
      <c r="HL21">
        <f t="shared" si="11"/>
        <v>3</v>
      </c>
      <c r="HM21" s="16">
        <f t="shared" si="12"/>
        <v>0.24390243902439024</v>
      </c>
      <c r="HN21">
        <f t="shared" si="13"/>
        <v>4.2999999999999989</v>
      </c>
      <c r="HO21" s="16">
        <f t="shared" si="14"/>
        <v>0.4343434343434342</v>
      </c>
      <c r="HP21" s="26">
        <f t="shared" si="15"/>
        <v>1.2999999999999989</v>
      </c>
      <c r="HR21" s="16"/>
      <c r="HT21">
        <f>EZ21-EE21</f>
        <v>0.60000000000000053</v>
      </c>
      <c r="HU21" s="28">
        <f>(HT21/EE21)*100</f>
        <v>13.043478260869579</v>
      </c>
      <c r="HV21">
        <f>FX21-FL21</f>
        <v>1.0999999999999996</v>
      </c>
      <c r="HW21" s="29">
        <f>(HV21/FL21)*100</f>
        <v>27.499999999999993</v>
      </c>
    </row>
    <row r="22" spans="1:231" x14ac:dyDescent="0.35">
      <c r="A22" t="s">
        <v>372</v>
      </c>
      <c r="B22" t="s">
        <v>373</v>
      </c>
      <c r="C22" s="3">
        <v>21539</v>
      </c>
      <c r="D22" s="31">
        <v>44</v>
      </c>
      <c r="E22">
        <v>64</v>
      </c>
      <c r="G22">
        <v>160</v>
      </c>
      <c r="H22">
        <f t="shared" si="9"/>
        <v>1.6</v>
      </c>
      <c r="I22">
        <f t="shared" si="10"/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L22" s="3">
        <v>45214</v>
      </c>
      <c r="AM22" t="s">
        <v>39</v>
      </c>
      <c r="AO22">
        <v>0</v>
      </c>
      <c r="AP22">
        <v>0</v>
      </c>
      <c r="AQ22">
        <v>1</v>
      </c>
      <c r="AR22">
        <v>0</v>
      </c>
      <c r="AS22">
        <v>0</v>
      </c>
      <c r="AU22">
        <v>9</v>
      </c>
      <c r="AV22">
        <v>4</v>
      </c>
      <c r="AW22">
        <v>1</v>
      </c>
      <c r="AX22">
        <v>0</v>
      </c>
      <c r="AY22">
        <v>0</v>
      </c>
      <c r="AZ22">
        <v>2</v>
      </c>
      <c r="BA22">
        <v>2</v>
      </c>
      <c r="BB22">
        <v>5.7</v>
      </c>
      <c r="BC22">
        <v>7.3</v>
      </c>
      <c r="BD22">
        <v>68</v>
      </c>
      <c r="BE22">
        <v>52</v>
      </c>
      <c r="BF22">
        <v>6.4</v>
      </c>
      <c r="BG22">
        <v>68</v>
      </c>
      <c r="BH22">
        <v>137</v>
      </c>
      <c r="BI22">
        <v>102</v>
      </c>
      <c r="BJ22">
        <v>40</v>
      </c>
      <c r="BK22">
        <v>39</v>
      </c>
      <c r="BL22">
        <v>0.2</v>
      </c>
      <c r="BM22">
        <v>17.5</v>
      </c>
      <c r="BN22">
        <v>7.5</v>
      </c>
      <c r="BO22">
        <v>386</v>
      </c>
      <c r="BP22">
        <v>37</v>
      </c>
      <c r="BQ22">
        <v>29</v>
      </c>
      <c r="BR22">
        <v>2.1</v>
      </c>
      <c r="BS22">
        <v>53</v>
      </c>
      <c r="BT22">
        <v>62</v>
      </c>
      <c r="BU22">
        <v>28</v>
      </c>
      <c r="BV22">
        <v>16</v>
      </c>
      <c r="BW22">
        <v>419</v>
      </c>
      <c r="BX22">
        <v>58</v>
      </c>
      <c r="BY22" s="3">
        <v>45216</v>
      </c>
      <c r="BZ22">
        <v>42</v>
      </c>
      <c r="CB22">
        <v>5</v>
      </c>
      <c r="CC22">
        <v>1</v>
      </c>
      <c r="CD22">
        <v>0</v>
      </c>
      <c r="CE22">
        <v>0</v>
      </c>
      <c r="CF22">
        <v>0</v>
      </c>
      <c r="CG22">
        <v>2</v>
      </c>
      <c r="CH22">
        <v>2</v>
      </c>
      <c r="CI22">
        <v>11.15</v>
      </c>
      <c r="CJ22">
        <v>7.3</v>
      </c>
      <c r="CK22">
        <v>78</v>
      </c>
      <c r="CM22">
        <v>6.6</v>
      </c>
      <c r="CN22">
        <v>92</v>
      </c>
      <c r="CO22">
        <v>138</v>
      </c>
      <c r="CP22">
        <v>107</v>
      </c>
      <c r="CQ22">
        <v>39</v>
      </c>
      <c r="DB22">
        <v>46</v>
      </c>
      <c r="DC22">
        <v>28</v>
      </c>
      <c r="DD22">
        <v>403</v>
      </c>
      <c r="DE22">
        <v>125</v>
      </c>
      <c r="DF22">
        <v>1</v>
      </c>
      <c r="DG22">
        <v>2</v>
      </c>
      <c r="DH22">
        <v>100</v>
      </c>
      <c r="DJ22">
        <v>0</v>
      </c>
      <c r="DK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102</v>
      </c>
      <c r="DU22">
        <v>48</v>
      </c>
      <c r="DV22">
        <v>70</v>
      </c>
      <c r="DW22">
        <v>86</v>
      </c>
      <c r="DX22">
        <v>36.700000000000003</v>
      </c>
      <c r="DY22">
        <v>1</v>
      </c>
      <c r="DZ22">
        <v>0</v>
      </c>
      <c r="EA22">
        <v>0</v>
      </c>
      <c r="EB22">
        <v>0</v>
      </c>
      <c r="EC22">
        <v>0</v>
      </c>
      <c r="ED22">
        <v>0</v>
      </c>
      <c r="EP22">
        <v>0</v>
      </c>
      <c r="EQ22">
        <v>2.2000000000000002</v>
      </c>
      <c r="ER22">
        <v>94.01</v>
      </c>
      <c r="EV22">
        <v>101</v>
      </c>
      <c r="EW22">
        <v>46</v>
      </c>
      <c r="EX22">
        <v>67</v>
      </c>
      <c r="EY22">
        <v>85</v>
      </c>
      <c r="FC22">
        <v>1.6</v>
      </c>
      <c r="FD22">
        <v>131.31</v>
      </c>
      <c r="FH22">
        <v>104</v>
      </c>
      <c r="FI22">
        <v>47</v>
      </c>
      <c r="FJ22">
        <v>67</v>
      </c>
      <c r="FK22">
        <v>79</v>
      </c>
      <c r="FO22">
        <v>1.8</v>
      </c>
      <c r="FP22">
        <v>111.14</v>
      </c>
      <c r="FT22">
        <v>102</v>
      </c>
      <c r="FU22">
        <v>49</v>
      </c>
      <c r="FV22">
        <v>68</v>
      </c>
      <c r="FW22">
        <v>87</v>
      </c>
      <c r="GF22">
        <v>1.04</v>
      </c>
      <c r="GG22">
        <v>132.13999999999999</v>
      </c>
      <c r="GW22">
        <v>99</v>
      </c>
      <c r="GX22">
        <v>49</v>
      </c>
      <c r="GY22">
        <v>68</v>
      </c>
      <c r="GZ22">
        <v>91</v>
      </c>
      <c r="HD22">
        <v>1.02</v>
      </c>
      <c r="HE22">
        <v>183.76</v>
      </c>
      <c r="HL22">
        <f t="shared" si="11"/>
        <v>37.299999999999997</v>
      </c>
      <c r="HM22" s="16">
        <f t="shared" si="12"/>
        <v>0.39676630145729175</v>
      </c>
      <c r="HN22">
        <f t="shared" si="13"/>
        <v>20.999999999999986</v>
      </c>
      <c r="HO22" s="16">
        <f t="shared" si="14"/>
        <v>0.18895087277307887</v>
      </c>
      <c r="HP22" s="26">
        <f t="shared" si="15"/>
        <v>-16.300000000000011</v>
      </c>
      <c r="HQ22">
        <f>HE22-FP22</f>
        <v>72.61999999999999</v>
      </c>
      <c r="HU22" s="28"/>
      <c r="HW22" s="28"/>
    </row>
    <row r="23" spans="1:231" x14ac:dyDescent="0.35">
      <c r="A23" t="s">
        <v>348</v>
      </c>
      <c r="B23" t="s">
        <v>349</v>
      </c>
      <c r="C23" s="3">
        <v>21115</v>
      </c>
      <c r="D23" s="31">
        <v>23</v>
      </c>
      <c r="E23">
        <v>65</v>
      </c>
      <c r="F23">
        <v>81</v>
      </c>
      <c r="G23">
        <v>157</v>
      </c>
      <c r="H23">
        <f t="shared" si="9"/>
        <v>1.57</v>
      </c>
      <c r="I23">
        <f t="shared" si="10"/>
        <v>32.86137368655929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L23" s="3">
        <v>45178</v>
      </c>
      <c r="AM23" t="s">
        <v>39</v>
      </c>
      <c r="AO23">
        <v>0</v>
      </c>
      <c r="AP23">
        <v>0</v>
      </c>
      <c r="AQ23">
        <v>1</v>
      </c>
      <c r="AR23">
        <v>0</v>
      </c>
      <c r="AS23">
        <v>0</v>
      </c>
      <c r="AU23">
        <v>1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12.9</v>
      </c>
      <c r="BC23">
        <v>7.2</v>
      </c>
      <c r="BD23">
        <v>218</v>
      </c>
      <c r="BE23">
        <v>45</v>
      </c>
      <c r="BF23">
        <v>5</v>
      </c>
      <c r="BG23">
        <v>62</v>
      </c>
      <c r="BH23">
        <v>139</v>
      </c>
      <c r="BI23">
        <v>111</v>
      </c>
      <c r="BJ23">
        <v>4</v>
      </c>
      <c r="BK23">
        <v>4</v>
      </c>
      <c r="BM23">
        <v>23.7</v>
      </c>
      <c r="BN23">
        <v>7.37</v>
      </c>
      <c r="BO23">
        <v>84</v>
      </c>
      <c r="BP23">
        <v>44</v>
      </c>
      <c r="BQ23">
        <v>25</v>
      </c>
      <c r="BR23">
        <v>0.7</v>
      </c>
      <c r="BS23">
        <v>76</v>
      </c>
      <c r="BU23">
        <v>16</v>
      </c>
      <c r="BV23">
        <v>16</v>
      </c>
      <c r="BW23">
        <v>270</v>
      </c>
      <c r="BX23">
        <v>18</v>
      </c>
      <c r="BY23" s="3">
        <v>45178</v>
      </c>
      <c r="BZ23">
        <v>7</v>
      </c>
      <c r="CA23">
        <v>81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12.9</v>
      </c>
      <c r="CJ23">
        <v>7.2</v>
      </c>
      <c r="CK23">
        <v>218</v>
      </c>
      <c r="CL23">
        <v>45</v>
      </c>
      <c r="CM23">
        <v>5</v>
      </c>
      <c r="CN23">
        <v>62</v>
      </c>
      <c r="CO23">
        <v>139</v>
      </c>
      <c r="CP23">
        <v>111</v>
      </c>
      <c r="CQ23">
        <v>4</v>
      </c>
      <c r="CR23">
        <v>4</v>
      </c>
      <c r="CT23">
        <v>23.7</v>
      </c>
      <c r="CU23">
        <v>7.37</v>
      </c>
      <c r="CV23">
        <v>84</v>
      </c>
      <c r="CW23">
        <v>44</v>
      </c>
      <c r="CX23">
        <v>25</v>
      </c>
      <c r="CY23">
        <v>0.7</v>
      </c>
      <c r="CZ23">
        <v>76</v>
      </c>
      <c r="DB23">
        <v>16</v>
      </c>
      <c r="DC23">
        <v>16</v>
      </c>
      <c r="DD23">
        <v>270</v>
      </c>
      <c r="DE23">
        <v>18</v>
      </c>
      <c r="DF23">
        <v>2</v>
      </c>
      <c r="DG23">
        <v>1</v>
      </c>
      <c r="DH23">
        <v>100</v>
      </c>
      <c r="DI23">
        <v>1000</v>
      </c>
      <c r="DJ23">
        <v>1</v>
      </c>
      <c r="DK23">
        <v>100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128</v>
      </c>
      <c r="DU23">
        <v>54</v>
      </c>
      <c r="DV23">
        <v>78</v>
      </c>
      <c r="DW23">
        <v>86</v>
      </c>
      <c r="DX23">
        <v>36.5</v>
      </c>
      <c r="DY23">
        <v>1</v>
      </c>
      <c r="DZ23">
        <v>0</v>
      </c>
      <c r="EA23">
        <v>0</v>
      </c>
      <c r="EB23">
        <v>0</v>
      </c>
      <c r="EC23">
        <v>0</v>
      </c>
      <c r="ED23">
        <v>2</v>
      </c>
      <c r="EE23">
        <v>5.6</v>
      </c>
      <c r="EF23">
        <v>50</v>
      </c>
      <c r="EG23" t="s">
        <v>144</v>
      </c>
      <c r="EH23" t="s">
        <v>144</v>
      </c>
      <c r="EI23">
        <v>0</v>
      </c>
      <c r="EJ23">
        <v>0</v>
      </c>
      <c r="EK23">
        <v>0.6</v>
      </c>
      <c r="EL23">
        <v>11.1</v>
      </c>
      <c r="EM23">
        <v>13</v>
      </c>
      <c r="EN23" t="s">
        <v>144</v>
      </c>
      <c r="EO23" t="s">
        <v>144</v>
      </c>
      <c r="EP23">
        <v>2</v>
      </c>
      <c r="EQ23">
        <v>4.0999999999999996</v>
      </c>
      <c r="ER23">
        <v>14.84</v>
      </c>
      <c r="ES23">
        <v>2.8</v>
      </c>
      <c r="ET23">
        <v>8.5</v>
      </c>
      <c r="EU23">
        <v>21.6</v>
      </c>
      <c r="EV23">
        <v>128</v>
      </c>
      <c r="EW23">
        <v>57</v>
      </c>
      <c r="EX23">
        <v>81</v>
      </c>
      <c r="EY23">
        <v>88</v>
      </c>
      <c r="EZ23">
        <v>6.4</v>
      </c>
      <c r="FB23">
        <v>2</v>
      </c>
      <c r="FC23">
        <v>3.2</v>
      </c>
      <c r="FD23">
        <v>30.23</v>
      </c>
      <c r="FH23">
        <v>125</v>
      </c>
      <c r="FI23">
        <v>61</v>
      </c>
      <c r="FJ23">
        <v>82</v>
      </c>
      <c r="FK23">
        <v>89</v>
      </c>
      <c r="FL23">
        <v>5.0999999999999996</v>
      </c>
      <c r="FM23">
        <v>15</v>
      </c>
      <c r="FN23">
        <v>2</v>
      </c>
      <c r="FO23">
        <v>4.05</v>
      </c>
      <c r="FP23">
        <v>14.14</v>
      </c>
      <c r="FT23">
        <v>113</v>
      </c>
      <c r="FU23">
        <v>83</v>
      </c>
      <c r="FV23">
        <v>94</v>
      </c>
      <c r="FW23">
        <v>90</v>
      </c>
      <c r="FX23">
        <v>6.4</v>
      </c>
      <c r="FY23">
        <v>50</v>
      </c>
      <c r="FZ23">
        <v>0.7</v>
      </c>
      <c r="GB23">
        <v>11</v>
      </c>
      <c r="GC23">
        <v>50</v>
      </c>
      <c r="GE23">
        <v>1</v>
      </c>
      <c r="GF23">
        <v>2.4</v>
      </c>
      <c r="GG23">
        <v>37.67</v>
      </c>
      <c r="GK23">
        <v>1</v>
      </c>
      <c r="GW23">
        <v>130</v>
      </c>
      <c r="GX23">
        <v>61</v>
      </c>
      <c r="GY23">
        <v>85</v>
      </c>
      <c r="GZ23">
        <v>87</v>
      </c>
      <c r="HA23">
        <v>6</v>
      </c>
      <c r="HC23">
        <v>1</v>
      </c>
      <c r="HD23">
        <v>2.7</v>
      </c>
      <c r="HE23">
        <v>28.41</v>
      </c>
      <c r="HL23">
        <f t="shared" si="11"/>
        <v>15.39</v>
      </c>
      <c r="HM23" s="16">
        <f t="shared" si="12"/>
        <v>1.0370619946091644</v>
      </c>
      <c r="HN23">
        <f t="shared" si="13"/>
        <v>23.53</v>
      </c>
      <c r="HO23" s="16">
        <f t="shared" si="14"/>
        <v>1.6640735502121642</v>
      </c>
      <c r="HP23" s="26">
        <f t="shared" si="15"/>
        <v>8.14</v>
      </c>
      <c r="HQ23">
        <f>HE23-FP23</f>
        <v>14.27</v>
      </c>
      <c r="HR23" s="16">
        <f>HQ23/FP23</f>
        <v>1.0091937765205092</v>
      </c>
      <c r="HS23">
        <f>HE23-GG23</f>
        <v>-9.2600000000000016</v>
      </c>
      <c r="HT23">
        <f>EZ23-EE23</f>
        <v>0.80000000000000071</v>
      </c>
      <c r="HU23" s="28">
        <f>(HT23/EE23)*100</f>
        <v>14.285714285714299</v>
      </c>
      <c r="HV23">
        <f>FX23-FL23</f>
        <v>1.3000000000000007</v>
      </c>
      <c r="HW23" s="29">
        <f>(HV23/FL23)*100</f>
        <v>25.490196078431389</v>
      </c>
    </row>
    <row r="24" spans="1:231" x14ac:dyDescent="0.35">
      <c r="A24" t="s">
        <v>353</v>
      </c>
      <c r="B24" t="s">
        <v>205</v>
      </c>
      <c r="C24" s="3">
        <v>23723</v>
      </c>
      <c r="D24" s="31">
        <v>38</v>
      </c>
      <c r="E24">
        <v>58</v>
      </c>
      <c r="F24">
        <v>67</v>
      </c>
      <c r="G24">
        <v>170</v>
      </c>
      <c r="H24">
        <f t="shared" si="9"/>
        <v>1.7</v>
      </c>
      <c r="I24">
        <f t="shared" si="10"/>
        <v>23.183391003460208</v>
      </c>
      <c r="J24">
        <v>0</v>
      </c>
      <c r="K24">
        <v>1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0</v>
      </c>
      <c r="AD24">
        <v>1</v>
      </c>
      <c r="AE24">
        <v>0</v>
      </c>
      <c r="AF24">
        <v>1</v>
      </c>
      <c r="AG24">
        <v>45</v>
      </c>
      <c r="AH24">
        <v>1</v>
      </c>
      <c r="AI24">
        <v>1</v>
      </c>
      <c r="AJ24">
        <v>0</v>
      </c>
      <c r="AK24">
        <v>0</v>
      </c>
      <c r="AL24" s="3">
        <v>45180</v>
      </c>
      <c r="AM24" t="s">
        <v>350</v>
      </c>
      <c r="AO24">
        <v>1</v>
      </c>
      <c r="AP24">
        <v>0</v>
      </c>
      <c r="AQ24">
        <v>0</v>
      </c>
      <c r="AR24">
        <v>0</v>
      </c>
      <c r="AS24">
        <v>0</v>
      </c>
      <c r="AU24">
        <v>5</v>
      </c>
      <c r="AV24">
        <v>1</v>
      </c>
      <c r="AW24">
        <v>2</v>
      </c>
      <c r="AX24">
        <v>2</v>
      </c>
      <c r="AY24">
        <v>0</v>
      </c>
      <c r="AZ24">
        <v>0</v>
      </c>
      <c r="BA24">
        <v>0</v>
      </c>
      <c r="BB24">
        <v>8.8000000000000007</v>
      </c>
      <c r="BC24">
        <v>9.6</v>
      </c>
      <c r="BD24">
        <v>168</v>
      </c>
      <c r="BE24">
        <v>62</v>
      </c>
      <c r="BF24">
        <v>8.3000000000000007</v>
      </c>
      <c r="BG24">
        <v>99</v>
      </c>
      <c r="BH24">
        <v>149</v>
      </c>
      <c r="BI24">
        <v>118</v>
      </c>
      <c r="BJ24">
        <v>13</v>
      </c>
      <c r="BK24">
        <v>250</v>
      </c>
      <c r="BM24">
        <v>12.8</v>
      </c>
      <c r="BN24">
        <v>7.38</v>
      </c>
      <c r="BO24">
        <v>88</v>
      </c>
      <c r="BP24">
        <v>31</v>
      </c>
      <c r="BQ24">
        <v>19</v>
      </c>
      <c r="BR24">
        <v>1.5</v>
      </c>
      <c r="BS24">
        <v>77</v>
      </c>
      <c r="BU24">
        <v>22</v>
      </c>
      <c r="BV24">
        <v>46</v>
      </c>
      <c r="BW24">
        <v>8</v>
      </c>
      <c r="BX24">
        <v>277</v>
      </c>
      <c r="BY24" s="3">
        <v>45180</v>
      </c>
      <c r="BZ24">
        <v>1</v>
      </c>
      <c r="CA24">
        <v>67</v>
      </c>
      <c r="CB24">
        <v>5</v>
      </c>
      <c r="CC24">
        <v>1</v>
      </c>
      <c r="CD24">
        <v>2</v>
      </c>
      <c r="CE24">
        <v>2</v>
      </c>
      <c r="CF24">
        <v>0</v>
      </c>
      <c r="CG24">
        <v>0</v>
      </c>
      <c r="CH24">
        <v>0</v>
      </c>
      <c r="CI24">
        <v>8.8000000000000007</v>
      </c>
      <c r="CJ24">
        <v>9.6</v>
      </c>
      <c r="CK24">
        <v>168</v>
      </c>
      <c r="CL24">
        <v>62</v>
      </c>
      <c r="CM24">
        <v>8.3000000000000007</v>
      </c>
      <c r="CN24">
        <v>99</v>
      </c>
      <c r="CO24">
        <v>149</v>
      </c>
      <c r="CP24">
        <v>118</v>
      </c>
      <c r="CQ24">
        <v>13</v>
      </c>
      <c r="CR24">
        <v>250</v>
      </c>
      <c r="CT24">
        <v>12.8</v>
      </c>
      <c r="CU24">
        <v>7.38</v>
      </c>
      <c r="CV24">
        <v>88</v>
      </c>
      <c r="CW24">
        <v>31</v>
      </c>
      <c r="CX24">
        <v>19</v>
      </c>
      <c r="CY24">
        <v>1.5</v>
      </c>
      <c r="CZ24">
        <v>77</v>
      </c>
      <c r="DB24">
        <v>22</v>
      </c>
      <c r="DC24">
        <v>40</v>
      </c>
      <c r="DD24">
        <v>8</v>
      </c>
      <c r="DE24">
        <v>277</v>
      </c>
      <c r="DF24">
        <v>2</v>
      </c>
      <c r="DG24">
        <v>1</v>
      </c>
      <c r="DH24">
        <v>500</v>
      </c>
      <c r="DI24">
        <v>500</v>
      </c>
      <c r="DJ24">
        <v>1</v>
      </c>
      <c r="DK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86</v>
      </c>
      <c r="DU24">
        <v>66</v>
      </c>
      <c r="DV24">
        <v>75</v>
      </c>
      <c r="DW24">
        <v>141</v>
      </c>
      <c r="DX24">
        <v>36.200000000000003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15</v>
      </c>
      <c r="EE24">
        <v>6.3</v>
      </c>
      <c r="EF24">
        <v>40</v>
      </c>
      <c r="EG24">
        <v>13</v>
      </c>
      <c r="EH24">
        <v>50</v>
      </c>
      <c r="EI24">
        <v>0</v>
      </c>
      <c r="EJ24">
        <v>0</v>
      </c>
      <c r="EK24">
        <v>0.6</v>
      </c>
      <c r="EL24">
        <v>6</v>
      </c>
      <c r="EM24" t="s">
        <v>144</v>
      </c>
      <c r="EN24" t="s">
        <v>144</v>
      </c>
      <c r="EO24" t="s">
        <v>144</v>
      </c>
      <c r="EP24">
        <v>4</v>
      </c>
      <c r="EQ24">
        <v>3.1</v>
      </c>
      <c r="ER24">
        <v>43.75</v>
      </c>
      <c r="ES24">
        <v>5.8</v>
      </c>
      <c r="ET24">
        <v>31</v>
      </c>
      <c r="EU24">
        <v>60</v>
      </c>
      <c r="EV24">
        <v>94</v>
      </c>
      <c r="EW24">
        <v>64</v>
      </c>
      <c r="EX24">
        <v>74</v>
      </c>
      <c r="EY24">
        <v>136</v>
      </c>
      <c r="EZ24">
        <v>7.1</v>
      </c>
      <c r="FA24" t="s">
        <v>144</v>
      </c>
      <c r="FB24">
        <v>4</v>
      </c>
      <c r="FC24">
        <v>2.2000000000000002</v>
      </c>
      <c r="FD24">
        <v>57.66</v>
      </c>
      <c r="FH24">
        <v>97</v>
      </c>
      <c r="FI24">
        <v>75</v>
      </c>
      <c r="FJ24">
        <v>81</v>
      </c>
      <c r="FK24">
        <v>138</v>
      </c>
      <c r="FL24">
        <v>6.2</v>
      </c>
      <c r="FM24" t="s">
        <v>144</v>
      </c>
      <c r="FN24">
        <v>4</v>
      </c>
      <c r="FO24">
        <v>2.98</v>
      </c>
      <c r="FP24">
        <v>40.86</v>
      </c>
      <c r="FT24">
        <v>106</v>
      </c>
      <c r="FU24">
        <v>71</v>
      </c>
      <c r="FV24">
        <v>83</v>
      </c>
      <c r="FW24">
        <v>136</v>
      </c>
      <c r="FX24">
        <v>7.7</v>
      </c>
      <c r="FY24">
        <v>45</v>
      </c>
      <c r="FZ24">
        <v>0.6</v>
      </c>
      <c r="GB24">
        <v>13</v>
      </c>
      <c r="GC24">
        <v>50</v>
      </c>
      <c r="GE24">
        <v>3</v>
      </c>
      <c r="GF24">
        <v>2.2000000000000002</v>
      </c>
      <c r="GG24">
        <v>101.25</v>
      </c>
      <c r="GK24">
        <v>96</v>
      </c>
      <c r="GL24">
        <v>71</v>
      </c>
      <c r="GM24">
        <v>80</v>
      </c>
      <c r="GN24">
        <v>138</v>
      </c>
      <c r="GO24">
        <v>5.7</v>
      </c>
      <c r="GQ24">
        <v>3</v>
      </c>
      <c r="GR24">
        <v>2.2999999999999998</v>
      </c>
      <c r="GS24">
        <v>85.78</v>
      </c>
      <c r="HL24">
        <f t="shared" si="11"/>
        <v>13.909999999999997</v>
      </c>
      <c r="HM24" s="16">
        <f t="shared" si="12"/>
        <v>0.31794285714285708</v>
      </c>
      <c r="HN24">
        <f t="shared" si="13"/>
        <v>60.39</v>
      </c>
      <c r="HO24" s="16">
        <f t="shared" si="14"/>
        <v>1.4779735682819384</v>
      </c>
      <c r="HP24" s="26">
        <f t="shared" si="15"/>
        <v>46.480000000000004</v>
      </c>
      <c r="HT24">
        <f>EZ24-EE24</f>
        <v>0.79999999999999982</v>
      </c>
      <c r="HU24" s="28">
        <f>(HT24/EE24)*100</f>
        <v>12.698412698412694</v>
      </c>
      <c r="HV24">
        <f>FX24-FL24</f>
        <v>1.5</v>
      </c>
      <c r="HW24" s="29">
        <f>(HV24/FL24)*100</f>
        <v>24.193548387096772</v>
      </c>
    </row>
    <row r="25" spans="1:231" x14ac:dyDescent="0.35">
      <c r="A25" t="s">
        <v>357</v>
      </c>
      <c r="B25" t="s">
        <v>358</v>
      </c>
      <c r="C25" s="3">
        <v>16733</v>
      </c>
      <c r="D25" s="31">
        <v>33</v>
      </c>
      <c r="E25">
        <v>77</v>
      </c>
      <c r="F25">
        <v>55</v>
      </c>
      <c r="G25">
        <v>169</v>
      </c>
      <c r="H25">
        <f t="shared" si="9"/>
        <v>1.69</v>
      </c>
      <c r="I25">
        <f t="shared" si="10"/>
        <v>19.257028815517668</v>
      </c>
      <c r="J25">
        <v>0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0</v>
      </c>
      <c r="AL25" s="3">
        <v>45181</v>
      </c>
      <c r="AM25" t="s">
        <v>359</v>
      </c>
      <c r="AO25">
        <v>1</v>
      </c>
      <c r="AP25">
        <v>0</v>
      </c>
      <c r="AQ25">
        <v>0</v>
      </c>
      <c r="AR25">
        <v>0</v>
      </c>
      <c r="AS25">
        <v>0</v>
      </c>
      <c r="AU25">
        <v>8</v>
      </c>
      <c r="AV25">
        <v>4</v>
      </c>
      <c r="AW25">
        <v>0</v>
      </c>
      <c r="AX25">
        <v>2</v>
      </c>
      <c r="AY25">
        <v>2</v>
      </c>
      <c r="AZ25">
        <v>0</v>
      </c>
      <c r="BA25">
        <v>0</v>
      </c>
      <c r="BB25">
        <v>7.6</v>
      </c>
      <c r="BC25">
        <v>11.1</v>
      </c>
      <c r="BD25">
        <v>329</v>
      </c>
      <c r="BE25">
        <v>76</v>
      </c>
      <c r="BF25">
        <v>12</v>
      </c>
      <c r="BG25">
        <v>267</v>
      </c>
      <c r="BH25">
        <v>132</v>
      </c>
      <c r="BI25">
        <v>97</v>
      </c>
      <c r="BJ25">
        <v>11</v>
      </c>
      <c r="BK25">
        <v>288</v>
      </c>
      <c r="BN25">
        <v>7.45</v>
      </c>
      <c r="BO25">
        <v>84</v>
      </c>
      <c r="BP25">
        <v>25</v>
      </c>
      <c r="BQ25">
        <v>17</v>
      </c>
      <c r="BR25">
        <v>5.0999999999999996</v>
      </c>
      <c r="BU25">
        <v>26</v>
      </c>
      <c r="BV25">
        <v>16</v>
      </c>
      <c r="BY25" s="3">
        <v>45181</v>
      </c>
      <c r="BZ25">
        <v>1</v>
      </c>
      <c r="CA25">
        <v>77</v>
      </c>
      <c r="CB25">
        <v>8</v>
      </c>
      <c r="CC25">
        <v>4</v>
      </c>
      <c r="CD25">
        <v>0</v>
      </c>
      <c r="CE25">
        <v>2</v>
      </c>
      <c r="CF25">
        <v>2</v>
      </c>
      <c r="CG25">
        <v>0</v>
      </c>
      <c r="CH25">
        <v>0</v>
      </c>
      <c r="CI25">
        <v>7.6</v>
      </c>
      <c r="CJ25">
        <v>11.1</v>
      </c>
      <c r="CK25">
        <v>329</v>
      </c>
      <c r="CL25">
        <v>76</v>
      </c>
      <c r="CM25">
        <v>12</v>
      </c>
      <c r="CN25">
        <v>267</v>
      </c>
      <c r="CO25">
        <v>132</v>
      </c>
      <c r="CP25">
        <v>97</v>
      </c>
      <c r="CQ25">
        <v>11</v>
      </c>
      <c r="CR25">
        <v>288</v>
      </c>
      <c r="CU25">
        <v>7.45</v>
      </c>
      <c r="CV25">
        <v>84</v>
      </c>
      <c r="CW25">
        <v>25</v>
      </c>
      <c r="CX25">
        <v>17</v>
      </c>
      <c r="CY25">
        <v>5.0999999999999996</v>
      </c>
      <c r="DB25">
        <v>26</v>
      </c>
      <c r="DC25">
        <v>16</v>
      </c>
      <c r="DF25">
        <v>3</v>
      </c>
      <c r="DG25">
        <v>1</v>
      </c>
      <c r="DH25">
        <v>500</v>
      </c>
      <c r="DJ25">
        <v>0</v>
      </c>
      <c r="DK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90</v>
      </c>
      <c r="DU25">
        <v>61</v>
      </c>
      <c r="DV25">
        <v>70</v>
      </c>
      <c r="DW25">
        <v>112</v>
      </c>
      <c r="DX25">
        <v>39.4</v>
      </c>
      <c r="DY25">
        <v>1</v>
      </c>
      <c r="DZ25">
        <v>0</v>
      </c>
      <c r="EA25">
        <v>0</v>
      </c>
      <c r="EB25">
        <v>0</v>
      </c>
      <c r="ED25">
        <v>9</v>
      </c>
      <c r="EE25">
        <v>2.5</v>
      </c>
      <c r="EF25">
        <v>30</v>
      </c>
      <c r="EG25">
        <v>5</v>
      </c>
      <c r="EH25">
        <v>100</v>
      </c>
      <c r="EI25">
        <v>0</v>
      </c>
      <c r="EJ25">
        <v>0</v>
      </c>
      <c r="EQ25">
        <v>5.5</v>
      </c>
      <c r="ER25">
        <v>13.9</v>
      </c>
      <c r="ES25">
        <v>3.49</v>
      </c>
      <c r="ET25">
        <v>9</v>
      </c>
      <c r="EU25">
        <v>42</v>
      </c>
      <c r="EV25">
        <v>89</v>
      </c>
      <c r="EW25">
        <v>61</v>
      </c>
      <c r="EX25">
        <v>69</v>
      </c>
      <c r="EY25">
        <v>107</v>
      </c>
      <c r="FC25">
        <v>2.66</v>
      </c>
      <c r="FD25">
        <v>52.39</v>
      </c>
      <c r="FH25">
        <v>95</v>
      </c>
      <c r="FI25">
        <v>64</v>
      </c>
      <c r="FJ25">
        <v>72</v>
      </c>
      <c r="FK25">
        <v>106</v>
      </c>
      <c r="FO25">
        <v>5.0999999999999996</v>
      </c>
      <c r="FP25">
        <v>20.350000000000001</v>
      </c>
      <c r="FT25">
        <v>102</v>
      </c>
      <c r="FU25">
        <v>60</v>
      </c>
      <c r="FV25">
        <v>73</v>
      </c>
      <c r="FW25">
        <v>105</v>
      </c>
      <c r="GF25">
        <v>3.6</v>
      </c>
      <c r="GG25">
        <v>60.24</v>
      </c>
      <c r="GW25">
        <v>102</v>
      </c>
      <c r="GX25">
        <v>66</v>
      </c>
      <c r="GY25">
        <v>73</v>
      </c>
      <c r="GZ25">
        <v>107</v>
      </c>
      <c r="HD25">
        <v>3.6</v>
      </c>
      <c r="HE25">
        <v>23.8</v>
      </c>
      <c r="HL25">
        <f t="shared" si="11"/>
        <v>38.49</v>
      </c>
      <c r="HM25" s="16">
        <f t="shared" si="12"/>
        <v>2.7690647482014388</v>
      </c>
      <c r="HN25">
        <f t="shared" si="13"/>
        <v>39.89</v>
      </c>
      <c r="HO25" s="16">
        <f t="shared" si="14"/>
        <v>1.9601965601965601</v>
      </c>
      <c r="HP25" s="26">
        <f t="shared" si="15"/>
        <v>1.3999999999999986</v>
      </c>
      <c r="HQ25">
        <f>HE25-FP25</f>
        <v>3.4499999999999993</v>
      </c>
      <c r="HU25" s="28"/>
      <c r="HW25" s="28"/>
    </row>
    <row r="26" spans="1:231" x14ac:dyDescent="0.35">
      <c r="A26" t="s">
        <v>357</v>
      </c>
      <c r="B26" t="s">
        <v>358</v>
      </c>
      <c r="C26" s="3">
        <v>16733</v>
      </c>
      <c r="D26" s="31">
        <v>33</v>
      </c>
      <c r="E26">
        <v>77</v>
      </c>
      <c r="F26">
        <v>55</v>
      </c>
      <c r="G26">
        <v>169</v>
      </c>
      <c r="H26">
        <f t="shared" si="9"/>
        <v>1.69</v>
      </c>
      <c r="I26">
        <f t="shared" si="10"/>
        <v>19.257028815517668</v>
      </c>
      <c r="J26">
        <v>0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0</v>
      </c>
      <c r="AL26" s="3">
        <v>45181</v>
      </c>
      <c r="AM26" t="s">
        <v>359</v>
      </c>
      <c r="AO26">
        <v>1</v>
      </c>
      <c r="AP26">
        <v>0</v>
      </c>
      <c r="AQ26">
        <v>0</v>
      </c>
      <c r="AR26">
        <v>0</v>
      </c>
      <c r="AS26">
        <v>0</v>
      </c>
      <c r="AU26">
        <v>8</v>
      </c>
      <c r="AV26">
        <v>4</v>
      </c>
      <c r="AW26">
        <v>0</v>
      </c>
      <c r="AX26">
        <v>2</v>
      </c>
      <c r="AY26">
        <v>2</v>
      </c>
      <c r="AZ26">
        <v>0</v>
      </c>
      <c r="BA26">
        <v>0</v>
      </c>
      <c r="BB26">
        <v>7.6</v>
      </c>
      <c r="BC26">
        <v>11.1</v>
      </c>
      <c r="BD26">
        <v>329</v>
      </c>
      <c r="BE26">
        <v>76</v>
      </c>
      <c r="BF26">
        <v>12</v>
      </c>
      <c r="BG26">
        <v>267</v>
      </c>
      <c r="BH26">
        <v>132</v>
      </c>
      <c r="BI26">
        <v>97</v>
      </c>
      <c r="BJ26">
        <v>11</v>
      </c>
      <c r="BK26">
        <v>288</v>
      </c>
      <c r="BN26">
        <v>7.45</v>
      </c>
      <c r="BO26">
        <v>84</v>
      </c>
      <c r="BP26">
        <v>25</v>
      </c>
      <c r="BQ26">
        <v>17</v>
      </c>
      <c r="BR26">
        <v>5.0999999999999996</v>
      </c>
      <c r="BU26">
        <v>26</v>
      </c>
      <c r="BV26">
        <v>16</v>
      </c>
      <c r="BY26" s="3">
        <v>45181</v>
      </c>
      <c r="BZ26">
        <v>3</v>
      </c>
      <c r="CA26">
        <v>77</v>
      </c>
      <c r="CB26">
        <v>8</v>
      </c>
      <c r="CC26">
        <v>4</v>
      </c>
      <c r="CD26">
        <v>0</v>
      </c>
      <c r="CE26">
        <v>2</v>
      </c>
      <c r="CF26">
        <v>2</v>
      </c>
      <c r="CG26">
        <v>0</v>
      </c>
      <c r="CH26">
        <v>0</v>
      </c>
      <c r="CI26">
        <v>7.6</v>
      </c>
      <c r="CJ26">
        <v>11.1</v>
      </c>
      <c r="CK26">
        <v>329</v>
      </c>
      <c r="CL26">
        <v>76</v>
      </c>
      <c r="CM26">
        <v>12</v>
      </c>
      <c r="CN26">
        <v>267</v>
      </c>
      <c r="CO26">
        <v>132</v>
      </c>
      <c r="CP26">
        <v>97</v>
      </c>
      <c r="CQ26">
        <v>11</v>
      </c>
      <c r="CR26">
        <v>288</v>
      </c>
      <c r="CU26">
        <v>7.45</v>
      </c>
      <c r="CV26">
        <v>84</v>
      </c>
      <c r="CW26">
        <v>25</v>
      </c>
      <c r="CX26">
        <v>17</v>
      </c>
      <c r="CY26">
        <v>5.0999999999999996</v>
      </c>
      <c r="DB26">
        <v>26</v>
      </c>
      <c r="DC26">
        <v>16</v>
      </c>
      <c r="DF26">
        <v>3</v>
      </c>
      <c r="DG26">
        <v>2</v>
      </c>
      <c r="DH26">
        <v>100</v>
      </c>
      <c r="DI26">
        <v>500</v>
      </c>
      <c r="DJ26">
        <v>1</v>
      </c>
      <c r="DK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107</v>
      </c>
      <c r="DU26">
        <v>59</v>
      </c>
      <c r="DV26">
        <v>77</v>
      </c>
      <c r="DW26">
        <v>105</v>
      </c>
      <c r="DX26">
        <v>37.4</v>
      </c>
      <c r="DY26">
        <v>1</v>
      </c>
      <c r="DZ26">
        <v>0</v>
      </c>
      <c r="EA26">
        <v>0</v>
      </c>
      <c r="EB26">
        <v>0</v>
      </c>
      <c r="ED26">
        <v>2</v>
      </c>
      <c r="EQ26">
        <v>4.0999999999999996</v>
      </c>
      <c r="ER26">
        <v>44.3</v>
      </c>
      <c r="EV26">
        <v>110</v>
      </c>
      <c r="EW26">
        <v>65</v>
      </c>
      <c r="EX26">
        <v>83</v>
      </c>
      <c r="EY26">
        <v>105</v>
      </c>
      <c r="FC26">
        <v>3.9</v>
      </c>
      <c r="FD26">
        <v>46.86</v>
      </c>
      <c r="FH26">
        <v>106</v>
      </c>
      <c r="FI26">
        <v>59</v>
      </c>
      <c r="FJ26">
        <v>76</v>
      </c>
      <c r="FK26">
        <v>107</v>
      </c>
      <c r="FO26">
        <v>4.8</v>
      </c>
      <c r="FP26">
        <v>33.81</v>
      </c>
      <c r="FT26">
        <v>101</v>
      </c>
      <c r="FU26">
        <v>55</v>
      </c>
      <c r="FV26">
        <v>73</v>
      </c>
      <c r="FW26">
        <v>103</v>
      </c>
      <c r="GF26">
        <v>3.7</v>
      </c>
      <c r="GG26">
        <v>45.33</v>
      </c>
      <c r="HL26">
        <f t="shared" si="11"/>
        <v>2.5600000000000023</v>
      </c>
      <c r="HM26" s="16">
        <f t="shared" si="12"/>
        <v>5.778781038374723E-2</v>
      </c>
      <c r="HN26">
        <f t="shared" si="13"/>
        <v>11.519999999999996</v>
      </c>
      <c r="HO26" s="16">
        <f t="shared" si="14"/>
        <v>0.34072759538598035</v>
      </c>
      <c r="HP26" s="26">
        <f t="shared" si="15"/>
        <v>8.9599999999999937</v>
      </c>
      <c r="HU26" s="28"/>
      <c r="HW26" s="28"/>
    </row>
    <row r="27" spans="1:231" x14ac:dyDescent="0.35">
      <c r="A27" t="s">
        <v>365</v>
      </c>
      <c r="B27" t="s">
        <v>366</v>
      </c>
      <c r="C27" s="3">
        <v>27646</v>
      </c>
      <c r="D27" s="31">
        <v>20</v>
      </c>
      <c r="E27">
        <v>48</v>
      </c>
      <c r="F27">
        <v>75</v>
      </c>
      <c r="G27">
        <v>175</v>
      </c>
      <c r="H27">
        <f t="shared" si="9"/>
        <v>1.75</v>
      </c>
      <c r="I27">
        <f t="shared" si="10"/>
        <v>24.489795918367346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L27" s="3">
        <v>45210</v>
      </c>
      <c r="AM27" t="s">
        <v>39</v>
      </c>
      <c r="AO27">
        <v>0</v>
      </c>
      <c r="AP27">
        <v>0</v>
      </c>
      <c r="AQ27">
        <v>1</v>
      </c>
      <c r="AR27">
        <v>0</v>
      </c>
      <c r="AS27">
        <v>0</v>
      </c>
      <c r="AU27">
        <v>10</v>
      </c>
      <c r="AV27">
        <v>4</v>
      </c>
      <c r="AW27">
        <v>0</v>
      </c>
      <c r="AX27">
        <v>0</v>
      </c>
      <c r="AY27">
        <v>0</v>
      </c>
      <c r="AZ27">
        <v>3</v>
      </c>
      <c r="BA27">
        <v>3</v>
      </c>
      <c r="BB27">
        <v>9.9</v>
      </c>
      <c r="BC27">
        <v>6.2</v>
      </c>
      <c r="BD27">
        <v>50</v>
      </c>
      <c r="BE27">
        <v>47</v>
      </c>
      <c r="BF27">
        <v>5.8</v>
      </c>
      <c r="BG27">
        <v>71</v>
      </c>
      <c r="BH27">
        <v>138</v>
      </c>
      <c r="BI27">
        <v>106</v>
      </c>
      <c r="BJ27">
        <v>190</v>
      </c>
      <c r="BN27">
        <v>7.41</v>
      </c>
      <c r="BO27">
        <v>84</v>
      </c>
      <c r="BP27">
        <v>34</v>
      </c>
      <c r="BQ27">
        <v>22</v>
      </c>
      <c r="BR27">
        <v>3.3</v>
      </c>
      <c r="BS27">
        <v>33</v>
      </c>
      <c r="BT27">
        <v>36</v>
      </c>
      <c r="BU27">
        <v>153</v>
      </c>
      <c r="BV27">
        <v>28</v>
      </c>
      <c r="BW27">
        <v>409</v>
      </c>
      <c r="BY27" s="3">
        <v>45211</v>
      </c>
      <c r="BZ27">
        <v>22</v>
      </c>
      <c r="CA27">
        <v>75</v>
      </c>
      <c r="CC27">
        <v>4</v>
      </c>
      <c r="CD27">
        <v>0</v>
      </c>
      <c r="CE27">
        <v>0</v>
      </c>
      <c r="CF27">
        <v>0</v>
      </c>
      <c r="CG27">
        <v>4</v>
      </c>
      <c r="CH27">
        <v>2</v>
      </c>
      <c r="CI27">
        <v>9.5</v>
      </c>
      <c r="CJ27">
        <v>8.1999999999999993</v>
      </c>
      <c r="CK27">
        <v>69</v>
      </c>
      <c r="CL27">
        <v>47</v>
      </c>
      <c r="CM27">
        <v>5.8</v>
      </c>
      <c r="CN27">
        <v>71</v>
      </c>
      <c r="CO27">
        <v>138</v>
      </c>
      <c r="CP27">
        <v>106</v>
      </c>
      <c r="CQ27">
        <v>250</v>
      </c>
      <c r="CU27">
        <v>7.48</v>
      </c>
      <c r="CV27">
        <v>69</v>
      </c>
      <c r="CW27">
        <v>33</v>
      </c>
      <c r="CX27">
        <v>25</v>
      </c>
      <c r="CY27">
        <v>4.0999999999999996</v>
      </c>
      <c r="CZ27">
        <v>35</v>
      </c>
      <c r="DA27">
        <v>38</v>
      </c>
      <c r="DB27">
        <v>147</v>
      </c>
      <c r="DC27">
        <v>30</v>
      </c>
      <c r="DD27">
        <v>443</v>
      </c>
      <c r="DE27">
        <v>45</v>
      </c>
      <c r="DF27">
        <v>1</v>
      </c>
      <c r="DG27">
        <v>2</v>
      </c>
      <c r="DH27">
        <v>100</v>
      </c>
      <c r="DI27">
        <v>500</v>
      </c>
      <c r="DJ27">
        <v>1</v>
      </c>
      <c r="DK27">
        <v>200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105</v>
      </c>
      <c r="DU27">
        <v>51</v>
      </c>
      <c r="DV27">
        <v>70</v>
      </c>
      <c r="DW27">
        <v>107</v>
      </c>
      <c r="DX27">
        <v>38.1</v>
      </c>
      <c r="DY27">
        <v>1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8</v>
      </c>
      <c r="EF27">
        <v>50</v>
      </c>
      <c r="EG27" t="s">
        <v>144</v>
      </c>
      <c r="EH27" t="s">
        <v>144</v>
      </c>
      <c r="EI27" t="s">
        <v>144</v>
      </c>
      <c r="EJ27" t="s">
        <v>144</v>
      </c>
      <c r="EK27">
        <v>0.7</v>
      </c>
      <c r="EL27">
        <v>5.5</v>
      </c>
      <c r="EM27" t="s">
        <v>144</v>
      </c>
      <c r="EN27" t="s">
        <v>144</v>
      </c>
      <c r="EO27" t="s">
        <v>144</v>
      </c>
      <c r="EP27">
        <v>0</v>
      </c>
      <c r="EQ27">
        <v>2.8</v>
      </c>
      <c r="ER27">
        <v>107.34</v>
      </c>
      <c r="EV27">
        <v>108</v>
      </c>
      <c r="EW27">
        <v>51</v>
      </c>
      <c r="EX27">
        <v>71</v>
      </c>
      <c r="EY27">
        <v>104</v>
      </c>
      <c r="EZ27">
        <v>7.9</v>
      </c>
      <c r="FC27">
        <v>2.9</v>
      </c>
      <c r="FD27">
        <v>187.21</v>
      </c>
      <c r="FH27">
        <v>166</v>
      </c>
      <c r="FI27">
        <v>53</v>
      </c>
      <c r="FJ27">
        <v>71</v>
      </c>
      <c r="FK27">
        <v>105</v>
      </c>
      <c r="FL27">
        <v>7.9</v>
      </c>
      <c r="FO27">
        <v>2.7</v>
      </c>
      <c r="FP27">
        <v>161.79</v>
      </c>
      <c r="FT27">
        <v>115</v>
      </c>
      <c r="FU27">
        <v>56</v>
      </c>
      <c r="FV27">
        <v>77</v>
      </c>
      <c r="FW27">
        <v>105</v>
      </c>
      <c r="FX27">
        <v>8.1</v>
      </c>
      <c r="FY27">
        <v>50</v>
      </c>
      <c r="GF27">
        <v>2.1</v>
      </c>
      <c r="GG27">
        <v>482.53</v>
      </c>
      <c r="GK27">
        <v>99</v>
      </c>
      <c r="GL27">
        <v>50</v>
      </c>
      <c r="GM27">
        <v>67</v>
      </c>
      <c r="GN27">
        <v>107</v>
      </c>
      <c r="GW27">
        <v>99</v>
      </c>
      <c r="GX27">
        <v>50</v>
      </c>
      <c r="GY27">
        <v>67</v>
      </c>
      <c r="GZ27">
        <v>107</v>
      </c>
      <c r="HD27">
        <v>1.9</v>
      </c>
      <c r="HE27">
        <v>360.73</v>
      </c>
      <c r="HL27">
        <f t="shared" si="11"/>
        <v>79.87</v>
      </c>
      <c r="HM27" s="16">
        <f t="shared" si="12"/>
        <v>0.74408421837152972</v>
      </c>
      <c r="HN27">
        <f t="shared" si="13"/>
        <v>320.74</v>
      </c>
      <c r="HO27" s="16">
        <f t="shared" si="14"/>
        <v>1.9824463811113173</v>
      </c>
      <c r="HP27" s="26">
        <f t="shared" si="15"/>
        <v>240.87</v>
      </c>
      <c r="HQ27">
        <f>HE27-FP27</f>
        <v>198.94000000000003</v>
      </c>
      <c r="HT27">
        <f>EZ27-EE27</f>
        <v>-9.9999999999999645E-2</v>
      </c>
      <c r="HU27" s="28">
        <f>(HT27/EE27)*100</f>
        <v>-1.2499999999999956</v>
      </c>
      <c r="HV27">
        <f>FX27-FL27</f>
        <v>0.19999999999999929</v>
      </c>
      <c r="HW27" s="28">
        <f>(HV27/FL27)*100</f>
        <v>2.531645569620244</v>
      </c>
    </row>
    <row r="28" spans="1:231" x14ac:dyDescent="0.35">
      <c r="A28" t="s">
        <v>341</v>
      </c>
      <c r="B28" t="s">
        <v>342</v>
      </c>
      <c r="C28" s="3">
        <v>16072</v>
      </c>
      <c r="D28" s="31">
        <v>36</v>
      </c>
      <c r="E28">
        <v>79</v>
      </c>
      <c r="F28">
        <v>63</v>
      </c>
      <c r="G28">
        <v>170</v>
      </c>
      <c r="H28">
        <f t="shared" si="9"/>
        <v>1.7</v>
      </c>
      <c r="I28">
        <f t="shared" si="10"/>
        <v>21.79930795847751</v>
      </c>
      <c r="J28">
        <v>0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144</v>
      </c>
      <c r="AL28" s="3">
        <v>45177</v>
      </c>
      <c r="AM28" t="s">
        <v>343</v>
      </c>
      <c r="AO28">
        <v>1</v>
      </c>
      <c r="AP28">
        <v>1</v>
      </c>
      <c r="AQ28">
        <v>0</v>
      </c>
      <c r="AR28">
        <v>0</v>
      </c>
      <c r="AS28">
        <v>0</v>
      </c>
      <c r="AU28">
        <v>9</v>
      </c>
      <c r="AV28">
        <v>4</v>
      </c>
      <c r="AW28">
        <v>0</v>
      </c>
      <c r="AX28">
        <v>1</v>
      </c>
      <c r="AY28">
        <v>3</v>
      </c>
      <c r="AZ28">
        <v>0</v>
      </c>
      <c r="BA28">
        <v>2</v>
      </c>
      <c r="BB28">
        <v>36</v>
      </c>
      <c r="BC28">
        <v>13.7</v>
      </c>
      <c r="BD28">
        <v>55</v>
      </c>
      <c r="BE28">
        <v>55</v>
      </c>
      <c r="BF28">
        <v>18.600000000000001</v>
      </c>
      <c r="BG28">
        <v>312</v>
      </c>
      <c r="BH28">
        <v>133</v>
      </c>
      <c r="BI28">
        <v>104</v>
      </c>
      <c r="BJ28">
        <v>8</v>
      </c>
      <c r="BL28">
        <v>375</v>
      </c>
      <c r="BN28">
        <v>7.36</v>
      </c>
      <c r="BO28">
        <v>114</v>
      </c>
      <c r="BP28">
        <v>21</v>
      </c>
      <c r="BQ28">
        <v>12</v>
      </c>
      <c r="BR28">
        <v>5.9</v>
      </c>
      <c r="BS28">
        <v>54</v>
      </c>
      <c r="BT28">
        <v>57</v>
      </c>
      <c r="BU28">
        <v>47</v>
      </c>
      <c r="BV28">
        <v>64</v>
      </c>
      <c r="BW28">
        <v>401</v>
      </c>
      <c r="BX28">
        <v>149</v>
      </c>
      <c r="BY28" s="3">
        <v>45177</v>
      </c>
      <c r="BZ28">
        <v>1</v>
      </c>
      <c r="CA28">
        <v>79</v>
      </c>
      <c r="CB28">
        <v>9</v>
      </c>
      <c r="CC28">
        <v>4</v>
      </c>
      <c r="CD28">
        <v>0</v>
      </c>
      <c r="CE28">
        <v>0</v>
      </c>
      <c r="CF28">
        <v>3</v>
      </c>
      <c r="CG28">
        <v>0</v>
      </c>
      <c r="CH28">
        <v>2</v>
      </c>
      <c r="CI28">
        <v>36</v>
      </c>
      <c r="CJ28">
        <v>13.7</v>
      </c>
      <c r="CK28">
        <v>55</v>
      </c>
      <c r="CL28">
        <v>55</v>
      </c>
      <c r="CM28">
        <v>18.600000000000001</v>
      </c>
      <c r="CN28">
        <v>312</v>
      </c>
      <c r="CO28">
        <v>133</v>
      </c>
      <c r="CP28">
        <v>104</v>
      </c>
      <c r="CQ28">
        <v>8</v>
      </c>
      <c r="CS28">
        <v>375</v>
      </c>
      <c r="CU28">
        <v>7.36</v>
      </c>
      <c r="CV28">
        <v>114</v>
      </c>
      <c r="CW28">
        <v>21</v>
      </c>
      <c r="CX28">
        <v>12</v>
      </c>
      <c r="CY28">
        <v>5.9</v>
      </c>
      <c r="CZ28">
        <v>54</v>
      </c>
      <c r="DA28">
        <v>57</v>
      </c>
      <c r="DB28">
        <v>47</v>
      </c>
      <c r="DC28">
        <v>64</v>
      </c>
      <c r="DD28">
        <v>401</v>
      </c>
      <c r="DE28">
        <v>149</v>
      </c>
      <c r="DF28">
        <v>1</v>
      </c>
      <c r="DG28">
        <v>2</v>
      </c>
      <c r="DH28">
        <v>500</v>
      </c>
      <c r="DI28">
        <v>2000</v>
      </c>
      <c r="DJ28">
        <v>1</v>
      </c>
      <c r="DK28">
        <v>100</v>
      </c>
      <c r="DL28">
        <v>0.4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160</v>
      </c>
      <c r="DU28">
        <v>54</v>
      </c>
      <c r="DV28">
        <v>70</v>
      </c>
      <c r="DW28">
        <v>101</v>
      </c>
      <c r="DX28">
        <v>36.6</v>
      </c>
      <c r="DY28">
        <v>1</v>
      </c>
      <c r="DZ28">
        <v>0</v>
      </c>
      <c r="EA28">
        <v>0</v>
      </c>
      <c r="EB28">
        <v>0</v>
      </c>
      <c r="ED28">
        <v>3</v>
      </c>
      <c r="EE28">
        <v>4.7</v>
      </c>
      <c r="EF28">
        <v>50</v>
      </c>
      <c r="EG28">
        <v>8</v>
      </c>
      <c r="EH28">
        <v>100</v>
      </c>
      <c r="EI28">
        <v>0</v>
      </c>
      <c r="EJ28">
        <v>0</v>
      </c>
      <c r="EK28">
        <v>0.6</v>
      </c>
      <c r="EL28">
        <v>11</v>
      </c>
      <c r="EM28" t="s">
        <v>144</v>
      </c>
      <c r="EN28" t="s">
        <v>144</v>
      </c>
      <c r="EO28" t="s">
        <v>144</v>
      </c>
      <c r="EP28">
        <v>1</v>
      </c>
      <c r="EQ28">
        <v>3.4</v>
      </c>
      <c r="ER28">
        <v>14.67</v>
      </c>
      <c r="ES28">
        <v>5.5</v>
      </c>
      <c r="ET28">
        <v>6</v>
      </c>
      <c r="EU28">
        <v>43</v>
      </c>
      <c r="EV28">
        <v>185</v>
      </c>
      <c r="EW28">
        <v>58</v>
      </c>
      <c r="EX28">
        <v>93</v>
      </c>
      <c r="EY28">
        <v>76</v>
      </c>
      <c r="EZ28">
        <v>3.7</v>
      </c>
      <c r="FB28">
        <v>1</v>
      </c>
      <c r="FC28">
        <v>1.9</v>
      </c>
      <c r="FD28">
        <v>78.12</v>
      </c>
      <c r="FH28">
        <v>204</v>
      </c>
      <c r="FI28">
        <v>63</v>
      </c>
      <c r="FJ28">
        <v>103</v>
      </c>
      <c r="FK28">
        <v>77</v>
      </c>
      <c r="FL28">
        <v>5.0999999999999996</v>
      </c>
      <c r="FN28">
        <v>1</v>
      </c>
      <c r="FO28">
        <v>3.1</v>
      </c>
      <c r="FP28">
        <v>20.8</v>
      </c>
      <c r="FT28">
        <v>105</v>
      </c>
      <c r="FU28">
        <v>48</v>
      </c>
      <c r="FV28">
        <v>67</v>
      </c>
      <c r="FW28">
        <v>89</v>
      </c>
      <c r="FX28">
        <v>4.0999999999999996</v>
      </c>
      <c r="FY28">
        <v>50</v>
      </c>
      <c r="GE28">
        <v>0</v>
      </c>
      <c r="GF28">
        <v>2.9</v>
      </c>
      <c r="GG28">
        <v>91.99</v>
      </c>
      <c r="GW28">
        <v>98</v>
      </c>
      <c r="GX28">
        <v>47</v>
      </c>
      <c r="GY28">
        <v>64</v>
      </c>
      <c r="GZ28">
        <v>89</v>
      </c>
      <c r="HA28">
        <v>3.9</v>
      </c>
      <c r="HC28">
        <v>0</v>
      </c>
      <c r="HD28">
        <v>2.7</v>
      </c>
      <c r="HE28">
        <v>94.51</v>
      </c>
      <c r="HL28">
        <f t="shared" si="11"/>
        <v>63.45</v>
      </c>
      <c r="HM28" s="16">
        <f t="shared" si="12"/>
        <v>4.3251533742331292</v>
      </c>
      <c r="HN28">
        <f t="shared" si="13"/>
        <v>71.19</v>
      </c>
      <c r="HO28" s="16">
        <f t="shared" si="14"/>
        <v>3.4225961538461536</v>
      </c>
      <c r="HP28" s="26">
        <f t="shared" si="15"/>
        <v>7.7399999999999949</v>
      </c>
      <c r="HQ28">
        <f>HE28-FP28</f>
        <v>73.710000000000008</v>
      </c>
      <c r="HR28" s="16">
        <f>HQ28/FP28</f>
        <v>3.5437500000000002</v>
      </c>
      <c r="HS28">
        <f>HE28-GG28</f>
        <v>2.5200000000000102</v>
      </c>
      <c r="HT28">
        <f>EZ28-EE28</f>
        <v>-1</v>
      </c>
      <c r="HU28" s="28">
        <f>(HT28/EE28)*100</f>
        <v>-21.276595744680851</v>
      </c>
      <c r="HV28">
        <f>FX28-FL28</f>
        <v>-1</v>
      </c>
      <c r="HW28" s="28">
        <f>(HV28/FL28)*100</f>
        <v>-19.607843137254903</v>
      </c>
    </row>
    <row r="29" spans="1:231" x14ac:dyDescent="0.35">
      <c r="A29" t="s">
        <v>187</v>
      </c>
      <c r="B29" t="s">
        <v>188</v>
      </c>
      <c r="C29" s="3">
        <v>24138</v>
      </c>
      <c r="D29" s="31">
        <v>61</v>
      </c>
      <c r="E29">
        <v>57</v>
      </c>
      <c r="F29">
        <v>74.5</v>
      </c>
      <c r="G29">
        <v>165</v>
      </c>
      <c r="H29">
        <f t="shared" si="9"/>
        <v>1.65</v>
      </c>
      <c r="I29">
        <f t="shared" si="10"/>
        <v>27.364554637281913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61</v>
      </c>
      <c r="AH29">
        <v>0</v>
      </c>
      <c r="AI29">
        <v>0</v>
      </c>
      <c r="AJ29">
        <v>0</v>
      </c>
      <c r="AK29">
        <v>0</v>
      </c>
      <c r="AL29" s="3">
        <v>44971</v>
      </c>
      <c r="AM29" t="s">
        <v>189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53</v>
      </c>
      <c r="AU29">
        <v>7</v>
      </c>
      <c r="AV29">
        <v>0</v>
      </c>
      <c r="AW29">
        <v>0</v>
      </c>
      <c r="AX29">
        <v>1</v>
      </c>
      <c r="AY29">
        <v>4</v>
      </c>
      <c r="AZ29">
        <v>2</v>
      </c>
      <c r="BA29">
        <v>0</v>
      </c>
      <c r="BB29">
        <v>12.64</v>
      </c>
      <c r="BC29">
        <v>7</v>
      </c>
      <c r="BD29">
        <v>154</v>
      </c>
      <c r="BE29">
        <v>61</v>
      </c>
      <c r="BF29">
        <v>15.4</v>
      </c>
      <c r="BG29">
        <v>282</v>
      </c>
      <c r="BH29">
        <v>126</v>
      </c>
      <c r="BI29">
        <v>92</v>
      </c>
      <c r="BJ29">
        <v>59</v>
      </c>
      <c r="BK29">
        <v>225</v>
      </c>
      <c r="BL29" t="s">
        <v>144</v>
      </c>
      <c r="BM29">
        <v>29.1</v>
      </c>
      <c r="BN29">
        <v>7.31</v>
      </c>
      <c r="BO29">
        <v>84</v>
      </c>
      <c r="BP29">
        <v>23</v>
      </c>
      <c r="BQ29">
        <v>12</v>
      </c>
      <c r="BR29">
        <v>7.1</v>
      </c>
      <c r="BS29">
        <v>28</v>
      </c>
      <c r="BT29">
        <v>32</v>
      </c>
      <c r="BU29">
        <v>2750</v>
      </c>
      <c r="BV29">
        <v>871</v>
      </c>
      <c r="BW29">
        <v>3820</v>
      </c>
      <c r="BX29">
        <v>506</v>
      </c>
      <c r="BY29" s="3">
        <v>44971</v>
      </c>
      <c r="BZ29">
        <v>0</v>
      </c>
      <c r="CA29">
        <v>74.5</v>
      </c>
      <c r="CB29">
        <v>7</v>
      </c>
      <c r="CC29">
        <v>0</v>
      </c>
      <c r="CD29">
        <v>0</v>
      </c>
      <c r="CE29">
        <v>1</v>
      </c>
      <c r="CF29">
        <v>4</v>
      </c>
      <c r="CG29">
        <v>2</v>
      </c>
      <c r="CH29">
        <v>0</v>
      </c>
      <c r="CI29">
        <v>12.64</v>
      </c>
      <c r="CJ29">
        <v>7</v>
      </c>
      <c r="CK29">
        <v>154</v>
      </c>
      <c r="CL29">
        <v>61</v>
      </c>
      <c r="CM29">
        <v>15.4</v>
      </c>
      <c r="CN29">
        <v>282</v>
      </c>
      <c r="CO29">
        <v>126</v>
      </c>
      <c r="CP29">
        <v>92</v>
      </c>
      <c r="CQ29">
        <v>59</v>
      </c>
      <c r="CR29">
        <v>225</v>
      </c>
      <c r="CS29" t="s">
        <v>144</v>
      </c>
      <c r="CT29">
        <v>29.1</v>
      </c>
      <c r="CU29">
        <v>7.31</v>
      </c>
      <c r="CV29">
        <v>84</v>
      </c>
      <c r="CW29">
        <v>23</v>
      </c>
      <c r="CX29">
        <v>12</v>
      </c>
      <c r="CY29">
        <v>7.1</v>
      </c>
      <c r="CZ29">
        <v>28</v>
      </c>
      <c r="DA29">
        <v>32</v>
      </c>
      <c r="DB29">
        <v>2750</v>
      </c>
      <c r="DC29">
        <v>871</v>
      </c>
      <c r="DD29">
        <v>3820</v>
      </c>
      <c r="DE29">
        <v>506</v>
      </c>
      <c r="DF29" t="s">
        <v>191</v>
      </c>
      <c r="DG29">
        <v>2</v>
      </c>
      <c r="DH29">
        <v>100</v>
      </c>
      <c r="DJ29">
        <v>0</v>
      </c>
      <c r="DK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121</v>
      </c>
      <c r="DU29">
        <v>84</v>
      </c>
      <c r="DV29">
        <v>94</v>
      </c>
      <c r="DW29">
        <v>101</v>
      </c>
      <c r="DX29">
        <v>36.5</v>
      </c>
      <c r="DY29">
        <v>1</v>
      </c>
      <c r="DZ29">
        <v>0</v>
      </c>
      <c r="EA29">
        <v>0</v>
      </c>
      <c r="EB29" t="s">
        <v>144</v>
      </c>
      <c r="EC29" t="s">
        <v>144</v>
      </c>
      <c r="ED29">
        <v>2</v>
      </c>
      <c r="EE29">
        <v>6</v>
      </c>
      <c r="EF29">
        <v>60</v>
      </c>
      <c r="EG29">
        <v>16</v>
      </c>
      <c r="EH29">
        <v>0</v>
      </c>
      <c r="EI29">
        <v>0</v>
      </c>
      <c r="EJ29">
        <v>0</v>
      </c>
      <c r="EK29">
        <v>0.9</v>
      </c>
      <c r="EL29">
        <v>4.2</v>
      </c>
      <c r="EM29" t="s">
        <v>144</v>
      </c>
      <c r="EN29" t="s">
        <v>144</v>
      </c>
      <c r="EO29" t="s">
        <v>144</v>
      </c>
      <c r="EP29" t="s">
        <v>144</v>
      </c>
      <c r="EQ29">
        <v>4.0199999999999996</v>
      </c>
      <c r="ER29">
        <v>14.24</v>
      </c>
      <c r="ES29">
        <v>2</v>
      </c>
      <c r="ET29">
        <v>10.35</v>
      </c>
      <c r="EU29">
        <v>27.77</v>
      </c>
      <c r="EV29">
        <v>120</v>
      </c>
      <c r="EW29">
        <v>82</v>
      </c>
      <c r="EX29">
        <v>95</v>
      </c>
      <c r="EY29">
        <v>102</v>
      </c>
      <c r="EZ29">
        <v>11.4</v>
      </c>
      <c r="FA29" t="s">
        <v>144</v>
      </c>
      <c r="FB29" t="s">
        <v>144</v>
      </c>
      <c r="FC29" s="1">
        <v>3.12</v>
      </c>
      <c r="FD29">
        <v>18.88</v>
      </c>
      <c r="FE29">
        <v>2.6</v>
      </c>
      <c r="FF29">
        <v>11.9</v>
      </c>
      <c r="FG29">
        <v>28.56</v>
      </c>
      <c r="FH29">
        <v>123</v>
      </c>
      <c r="FI29">
        <v>82</v>
      </c>
      <c r="FJ29">
        <v>94</v>
      </c>
      <c r="FK29">
        <v>101</v>
      </c>
      <c r="FL29">
        <v>6.5</v>
      </c>
      <c r="FM29" t="s">
        <v>144</v>
      </c>
      <c r="FN29" t="s">
        <v>144</v>
      </c>
      <c r="FO29">
        <v>3.49</v>
      </c>
      <c r="FP29">
        <v>15.21</v>
      </c>
      <c r="FQ29">
        <v>2.74</v>
      </c>
      <c r="FR29">
        <v>10.93</v>
      </c>
      <c r="FS29">
        <v>39.119999999999997</v>
      </c>
      <c r="FT29">
        <v>121</v>
      </c>
      <c r="FU29">
        <v>79</v>
      </c>
      <c r="FV29">
        <v>93</v>
      </c>
      <c r="FW29">
        <v>108</v>
      </c>
      <c r="FX29">
        <v>8.1</v>
      </c>
      <c r="GD29" t="s">
        <v>144</v>
      </c>
      <c r="GE29" t="s">
        <v>144</v>
      </c>
      <c r="GF29">
        <v>2.59</v>
      </c>
      <c r="GG29">
        <v>33.119999999999997</v>
      </c>
      <c r="GH29">
        <v>4.4800000000000004</v>
      </c>
      <c r="GI29">
        <v>22.52</v>
      </c>
      <c r="GJ29">
        <v>62.87</v>
      </c>
      <c r="HJ29">
        <v>1</v>
      </c>
      <c r="HK29" s="3">
        <v>44954</v>
      </c>
      <c r="HL29">
        <f t="shared" si="11"/>
        <v>4.6399999999999988</v>
      </c>
      <c r="HM29" s="16">
        <f t="shared" si="12"/>
        <v>0.32584269662921339</v>
      </c>
      <c r="HN29">
        <f t="shared" si="13"/>
        <v>17.909999999999997</v>
      </c>
      <c r="HO29" s="16">
        <f t="shared" si="14"/>
        <v>1.1775147928994081</v>
      </c>
      <c r="HP29" s="26">
        <f t="shared" si="15"/>
        <v>13.269999999999998</v>
      </c>
      <c r="HR29" s="16"/>
      <c r="HT29">
        <f>EZ29-EE29</f>
        <v>5.4</v>
      </c>
      <c r="HU29" s="28">
        <f>(HT29/EE29)*100</f>
        <v>90</v>
      </c>
      <c r="HV29">
        <f>FX29-FL29</f>
        <v>1.5999999999999996</v>
      </c>
      <c r="HW29" s="29">
        <f>(HV29/FL29)*100</f>
        <v>24.61538461538461</v>
      </c>
    </row>
    <row r="31" spans="1:231" x14ac:dyDescent="0.35">
      <c r="A31" t="s">
        <v>402</v>
      </c>
      <c r="D31">
        <f t="shared" ref="D31:I31" si="16">MEDIAN(D2:D29)</f>
        <v>42</v>
      </c>
      <c r="E31">
        <f t="shared" si="16"/>
        <v>61</v>
      </c>
      <c r="F31">
        <f t="shared" si="16"/>
        <v>74.5</v>
      </c>
      <c r="G31">
        <f t="shared" si="16"/>
        <v>170</v>
      </c>
      <c r="H31">
        <f t="shared" si="16"/>
        <v>1.7</v>
      </c>
      <c r="I31">
        <f t="shared" si="16"/>
        <v>24.774551472498516</v>
      </c>
      <c r="AU31">
        <f>MEDIAN(AU2:AU29)</f>
        <v>7.5</v>
      </c>
      <c r="BZ31">
        <f>MEDIAN(BZ2:BZ29)</f>
        <v>12</v>
      </c>
      <c r="CB31">
        <f>MEDIAN(CB2:CB29)</f>
        <v>7</v>
      </c>
      <c r="CY31">
        <f>MEDIAN(CY2:CY29)</f>
        <v>2.4</v>
      </c>
      <c r="DI31">
        <f>MEDIAN(DI2:DI29)</f>
        <v>1250</v>
      </c>
      <c r="DL31">
        <f>MEDIAN(DL2:DL29)</f>
        <v>0.4</v>
      </c>
      <c r="DT31">
        <f>MEDIAN(DT2:DT29)</f>
        <v>106</v>
      </c>
      <c r="DU31">
        <f>MEDIAN(DU2:DU29)</f>
        <v>58.5</v>
      </c>
      <c r="DV31">
        <f>MEDIAN(DV2:DV29)</f>
        <v>75.5</v>
      </c>
      <c r="DW31">
        <f>MEDIAN(DW2:DW29)</f>
        <v>107</v>
      </c>
      <c r="EE31">
        <f>MEDIAN(EE2:EE29)</f>
        <v>4.5999999999999996</v>
      </c>
      <c r="EQ31">
        <f>MEDIAN(EQ2:EQ29)</f>
        <v>2.95</v>
      </c>
      <c r="ER31">
        <f>MEDIAN(ER2:ER29)</f>
        <v>33.92</v>
      </c>
      <c r="EX31">
        <f>MEDIAN(EX2:EX29)</f>
        <v>82.5</v>
      </c>
      <c r="EY31">
        <f>MEDIAN(EY2:EY29)</f>
        <v>106</v>
      </c>
      <c r="EZ31">
        <f>MEDIAN(EZ2:EZ29)</f>
        <v>5.3000000000000007</v>
      </c>
      <c r="FC31">
        <f>MEDIAN(FC2:FC29)</f>
        <v>2.04</v>
      </c>
      <c r="FD31">
        <f>MEDIAN(FD2:FD29)</f>
        <v>54.734999999999999</v>
      </c>
      <c r="FJ31">
        <f>MEDIAN(FJ2:FJ29)</f>
        <v>80</v>
      </c>
      <c r="FK31">
        <f>MEDIAN(FK2:FK29)</f>
        <v>107</v>
      </c>
      <c r="FL31">
        <f>MEDIAN(FL2:FL29)</f>
        <v>5.0999999999999996</v>
      </c>
      <c r="FO31">
        <f>MEDIAN(FO2:FO29)</f>
        <v>2.7</v>
      </c>
      <c r="FP31">
        <f>MEDIAN(FP2:FP29)</f>
        <v>34.57</v>
      </c>
      <c r="FV31">
        <f>MEDIAN(FV2:FV29)</f>
        <v>77</v>
      </c>
      <c r="FW31">
        <f>MEDIAN(FW2:FW29)</f>
        <v>106.5</v>
      </c>
      <c r="FX31">
        <f>MEDIAN(FX2:FX29)</f>
        <v>5.35</v>
      </c>
      <c r="GF31">
        <f>MEDIAN(GF2:GF29)</f>
        <v>2.2000000000000002</v>
      </c>
      <c r="GG31">
        <f>MEDIAN(GG2:GG29)</f>
        <v>63.995000000000005</v>
      </c>
      <c r="GY31">
        <f>MEDIAN(GY2:GY29)</f>
        <v>74</v>
      </c>
      <c r="GZ31">
        <f>MEDIAN(GZ2:GZ29)</f>
        <v>97</v>
      </c>
      <c r="HA31">
        <f>MEDIAN(HA2:HA29)</f>
        <v>4.25</v>
      </c>
      <c r="HD31">
        <f>MEDIAN(HD2:HD29)</f>
        <v>1.79</v>
      </c>
      <c r="HE31">
        <f>MEDIAN(HE2:HE29)</f>
        <v>96.59</v>
      </c>
    </row>
    <row r="32" spans="1:231" x14ac:dyDescent="0.35">
      <c r="A32" t="s">
        <v>397</v>
      </c>
      <c r="D32">
        <f t="shared" ref="D32:I32" si="17">_xlfn.QUARTILE.INC(D3:D29,1)</f>
        <v>29.5</v>
      </c>
      <c r="E32">
        <f t="shared" si="17"/>
        <v>48.25</v>
      </c>
      <c r="F32">
        <f t="shared" si="17"/>
        <v>60.8</v>
      </c>
      <c r="G32">
        <f t="shared" si="17"/>
        <v>164</v>
      </c>
      <c r="H32">
        <f t="shared" si="17"/>
        <v>1.64</v>
      </c>
      <c r="I32">
        <f t="shared" si="17"/>
        <v>21.363564885533883</v>
      </c>
      <c r="AU32">
        <f>_xlfn.QUARTILE.INC(AU3:AU29,1)</f>
        <v>3.25</v>
      </c>
      <c r="BZ32">
        <f>_xlfn.QUARTILE.INC(BZ3:BZ29,1)</f>
        <v>1.75</v>
      </c>
      <c r="CB32">
        <f>_xlfn.QUARTILE.INC(CB3:CB29,1)</f>
        <v>4</v>
      </c>
      <c r="CY32">
        <f>_xlfn.QUARTILE.INC(CY3:CY29,1)</f>
        <v>1.65</v>
      </c>
      <c r="DI32">
        <f>_xlfn.QUARTILE.INC(DI3:DI29,1)</f>
        <v>500</v>
      </c>
      <c r="DL32">
        <f>_xlfn.QUARTILE.INC(DL3:DL29,1)</f>
        <v>0.2</v>
      </c>
      <c r="DT32">
        <f>_xlfn.QUARTILE.INC(DT3:DT29,1)</f>
        <v>93.25</v>
      </c>
      <c r="DU32">
        <f>_xlfn.QUARTILE.INC(DU3:DU29,1)</f>
        <v>54</v>
      </c>
      <c r="DV32">
        <f>_xlfn.QUARTILE.INC(DV3:DV29,1)</f>
        <v>70</v>
      </c>
      <c r="DW32">
        <f>_xlfn.QUARTILE.INC(DW3:DW29,1)</f>
        <v>89.5</v>
      </c>
      <c r="EE32">
        <f>_xlfn.QUARTILE.INC(EE3:EE29,1)</f>
        <v>3.5</v>
      </c>
      <c r="EQ32">
        <f>_xlfn.QUARTILE.INC(EQ3:EQ29,1)</f>
        <v>2.2225000000000001</v>
      </c>
      <c r="ER32">
        <f>_xlfn.QUARTILE.INC(ER3:ER29,1)</f>
        <v>14.3475</v>
      </c>
      <c r="EX32">
        <f>_xlfn.QUARTILE.INC(EX3:EX29,1)</f>
        <v>69.5</v>
      </c>
      <c r="EY32">
        <f>_xlfn.QUARTILE.INC(EY3:EY29,1)</f>
        <v>87.25</v>
      </c>
      <c r="EZ32">
        <f>_xlfn.QUARTILE.INC(EZ3:EZ29,1)</f>
        <v>4.2250000000000005</v>
      </c>
      <c r="FC32">
        <f>_xlfn.QUARTILE.INC(FC3:FC29,1)</f>
        <v>1.6</v>
      </c>
      <c r="FD32">
        <f>_xlfn.QUARTILE.INC(FD3:FD29,1)</f>
        <v>31.452500000000001</v>
      </c>
      <c r="FJ32">
        <f>_xlfn.QUARTILE.INC(FJ3:FJ29,1)</f>
        <v>70</v>
      </c>
      <c r="FK32">
        <f>_xlfn.QUARTILE.INC(FK3:FK29,1)</f>
        <v>89</v>
      </c>
      <c r="FL32">
        <f>_xlfn.QUARTILE.INC(FL3:FL29,1)</f>
        <v>3.75</v>
      </c>
      <c r="FO32">
        <f>_xlfn.QUARTILE.INC(FO3:FO29,1)</f>
        <v>2.1</v>
      </c>
      <c r="FP32">
        <f>_xlfn.QUARTILE.INC(FP3:FP29,1)</f>
        <v>16.47</v>
      </c>
      <c r="FV32">
        <f>_xlfn.QUARTILE.INC(FV3:FV29,1)</f>
        <v>68.25</v>
      </c>
      <c r="FW32">
        <f>_xlfn.QUARTILE.INC(FW3:FW29,1)</f>
        <v>89.25</v>
      </c>
      <c r="FX32">
        <f>_xlfn.QUARTILE.INC(FX3:FX29,1)</f>
        <v>4.1749999999999998</v>
      </c>
      <c r="GF32">
        <f>_xlfn.QUARTILE.INC(GF3:GF29,1)</f>
        <v>1.32</v>
      </c>
      <c r="GG32">
        <f>_xlfn.QUARTILE.INC(GG3:GG29,1)</f>
        <v>41.422499999999999</v>
      </c>
      <c r="GY32">
        <f>_xlfn.QUARTILE.INC(GY3:GY29,1)</f>
        <v>67.5</v>
      </c>
      <c r="GZ32">
        <f>_xlfn.QUARTILE.INC(GZ3:GZ29,1)</f>
        <v>88</v>
      </c>
      <c r="HA32">
        <f>_xlfn.QUARTILE.INC(HA3:HA29,1)</f>
        <v>3.8</v>
      </c>
      <c r="HD32">
        <f>_xlfn.QUARTILE.INC(HD3:HD29,1)</f>
        <v>0.9</v>
      </c>
      <c r="HE32">
        <f>_xlfn.QUARTILE.INC(HE3:HE29,1)</f>
        <v>31.434999999999999</v>
      </c>
    </row>
    <row r="33" spans="1:213" x14ac:dyDescent="0.35">
      <c r="A33" t="s">
        <v>398</v>
      </c>
      <c r="D33">
        <f t="shared" ref="D33:I33" si="18">_xlfn.QUARTILE.INC(D3:D29,3)</f>
        <v>66</v>
      </c>
      <c r="E33">
        <f t="shared" si="18"/>
        <v>75</v>
      </c>
      <c r="F33">
        <f t="shared" si="18"/>
        <v>81</v>
      </c>
      <c r="G33">
        <f t="shared" si="18"/>
        <v>174.5</v>
      </c>
      <c r="H33">
        <f t="shared" si="18"/>
        <v>1.7450000000000001</v>
      </c>
      <c r="I33">
        <f t="shared" si="18"/>
        <v>27.885187388459254</v>
      </c>
      <c r="AU33">
        <f>_xlfn.QUARTILE.INC(AU3:AU29,3)</f>
        <v>9</v>
      </c>
      <c r="BZ33">
        <f>_xlfn.QUARTILE.INC(BZ3:BZ29,3)</f>
        <v>18.5</v>
      </c>
      <c r="CB33">
        <f>_xlfn.QUARTILE.INC(CB3:CB29,3)</f>
        <v>9</v>
      </c>
      <c r="CY33">
        <f>_xlfn.QUARTILE.INC(CY3:CY29,3)</f>
        <v>5.0999999999999996</v>
      </c>
      <c r="DI33">
        <f>_xlfn.QUARTILE.INC(DI3:DI29,3)</f>
        <v>2000</v>
      </c>
      <c r="DL33">
        <f>_xlfn.QUARTILE.INC(DL3:DL29,3)</f>
        <v>0.4</v>
      </c>
      <c r="DT33">
        <f>_xlfn.QUARTILE.INC(DT3:DT29,3)</f>
        <v>124.5</v>
      </c>
      <c r="DU33">
        <f>_xlfn.QUARTILE.INC(DU3:DU29,3)</f>
        <v>75.5</v>
      </c>
      <c r="DV33">
        <f>_xlfn.QUARTILE.INC(DV3:DV29,3)</f>
        <v>84</v>
      </c>
      <c r="DW33">
        <f>_xlfn.QUARTILE.INC(DW3:DW29,3)</f>
        <v>127.5</v>
      </c>
      <c r="EE33">
        <f>_xlfn.QUARTILE.INC(EE3:EE29,3)</f>
        <v>6</v>
      </c>
      <c r="EQ33">
        <f>_xlfn.QUARTILE.INC(EQ3:EQ29,3)</f>
        <v>4.0999999999999996</v>
      </c>
      <c r="ER33">
        <f>_xlfn.QUARTILE.INC(ER3:ER29,3)</f>
        <v>83.14500000000001</v>
      </c>
      <c r="EX33">
        <f>_xlfn.QUARTILE.INC(EX3:EX29,3)</f>
        <v>92.5</v>
      </c>
      <c r="EY33">
        <f>_xlfn.QUARTILE.INC(EY3:EY29,3)</f>
        <v>127.75</v>
      </c>
      <c r="EZ33">
        <f>_xlfn.QUARTILE.INC(EZ3:EZ29,3)</f>
        <v>6.8</v>
      </c>
      <c r="FC33">
        <f>_xlfn.QUARTILE.INC(FC3:FC29,3)</f>
        <v>2.9</v>
      </c>
      <c r="FD33">
        <f>_xlfn.QUARTILE.INC(FD3:FD29,3)</f>
        <v>127.36750000000001</v>
      </c>
      <c r="FJ33">
        <f>_xlfn.QUARTILE.INC(FJ3:FJ29,3)</f>
        <v>88</v>
      </c>
      <c r="FK33">
        <f>_xlfn.QUARTILE.INC(FK3:FK29,3)</f>
        <v>131</v>
      </c>
      <c r="FL33">
        <f>_xlfn.QUARTILE.INC(FL3:FL29,3)</f>
        <v>6.15</v>
      </c>
      <c r="FO33">
        <f>_xlfn.QUARTILE.INC(FO3:FO29,3)</f>
        <v>3.59</v>
      </c>
      <c r="FP33">
        <f>_xlfn.QUARTILE.INC(FP3:FP29,3)</f>
        <v>111.14</v>
      </c>
      <c r="FV33">
        <f>_xlfn.QUARTILE.INC(FV3:FV29,3)</f>
        <v>91.75</v>
      </c>
      <c r="FW33">
        <f>_xlfn.QUARTILE.INC(FW3:FW29,3)</f>
        <v>123.5</v>
      </c>
      <c r="FX33">
        <f>_xlfn.QUARTILE.INC(FX3:FX29,3)</f>
        <v>6.625</v>
      </c>
      <c r="GF33">
        <f>_xlfn.QUARTILE.INC(GF3:GF29,3)</f>
        <v>2.59</v>
      </c>
      <c r="GG33">
        <f>_xlfn.QUARTILE.INC(GG3:GG29,3)</f>
        <v>190.34</v>
      </c>
      <c r="GY33">
        <f>_xlfn.QUARTILE.INC(GY3:GY29,3)</f>
        <v>85.5</v>
      </c>
      <c r="GZ33">
        <f>_xlfn.QUARTILE.INC(GZ3:GZ29,3)</f>
        <v>108.5</v>
      </c>
      <c r="HA33">
        <f>_xlfn.QUARTILE.INC(HA3:HA29,3)</f>
        <v>5.85</v>
      </c>
      <c r="HD33">
        <f>_xlfn.QUARTILE.INC(HD3:HD29,3)</f>
        <v>2.7</v>
      </c>
      <c r="HE33">
        <f>_xlfn.QUARTILE.INC(HE3:HE29,3)</f>
        <v>273.21500000000003</v>
      </c>
    </row>
    <row r="34" spans="1:213" x14ac:dyDescent="0.35">
      <c r="A34" t="s">
        <v>399</v>
      </c>
      <c r="J34">
        <f>COUNTIF(J3:J29,1)</f>
        <v>10</v>
      </c>
      <c r="DJ34">
        <f>COUNTIF(DJ3:DJ29,1)</f>
        <v>20</v>
      </c>
      <c r="DM34">
        <f>COUNTIF(DM3:DM29,1)</f>
        <v>7</v>
      </c>
      <c r="DY34">
        <f>COUNTIF(DY3:DY29,1)</f>
        <v>17</v>
      </c>
      <c r="DZ34">
        <f>COUNTIF(DZ3:DZ29,1)</f>
        <v>4</v>
      </c>
      <c r="EA34">
        <f>COUNTIF(EA3:EA29,1)</f>
        <v>5</v>
      </c>
    </row>
    <row r="35" spans="1:213" x14ac:dyDescent="0.35">
      <c r="A35" t="s">
        <v>401</v>
      </c>
      <c r="J35">
        <f>COUNT(J3:J29)</f>
        <v>26</v>
      </c>
      <c r="DJ35">
        <f>COUNT(DJ3:DJ29)</f>
        <v>26</v>
      </c>
      <c r="DM35">
        <f>COUNT(DM3:DM29)</f>
        <v>26</v>
      </c>
      <c r="DY35">
        <f>COUNT(DY3:DY29)</f>
        <v>26</v>
      </c>
      <c r="DZ35">
        <f>COUNT(DZ3:DZ29)</f>
        <v>26</v>
      </c>
      <c r="EA35">
        <f>COUNT(EA3:EA29)</f>
        <v>26</v>
      </c>
    </row>
    <row r="36" spans="1:213" x14ac:dyDescent="0.35">
      <c r="A36" t="s">
        <v>335</v>
      </c>
      <c r="J36" s="16">
        <f>J34/J35</f>
        <v>0.38461538461538464</v>
      </c>
      <c r="DJ36" s="16">
        <f>DJ34/DJ35</f>
        <v>0.76923076923076927</v>
      </c>
      <c r="DM36" s="16">
        <f>DM34/DM35</f>
        <v>0.26923076923076922</v>
      </c>
      <c r="DY36" s="16">
        <f>DY34/DY35</f>
        <v>0.65384615384615385</v>
      </c>
      <c r="DZ36" s="16">
        <f t="shared" ref="DZ36:EA36" si="19">DZ34/DZ35</f>
        <v>0.15384615384615385</v>
      </c>
      <c r="EA36" s="16">
        <f t="shared" si="19"/>
        <v>0.19230769230769232</v>
      </c>
    </row>
  </sheetData>
  <autoFilter ref="A2:HX2" xr:uid="{00000000-0001-0000-0400-000000000000}">
    <sortState ref="A3:HX29">
      <sortCondition ref="A2"/>
    </sortState>
  </autoFilter>
  <mergeCells count="6">
    <mergeCell ref="GW1:HH1"/>
    <mergeCell ref="DL1:EU1"/>
    <mergeCell ref="EV1:FG1"/>
    <mergeCell ref="FH1:FS1"/>
    <mergeCell ref="FT1:GJ1"/>
    <mergeCell ref="GK1:G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V31"/>
  <sheetViews>
    <sheetView workbookViewId="0">
      <pane xSplit="12390" ySplit="10800" topLeftCell="DR37"/>
      <selection activeCell="C26" sqref="C26"/>
      <selection pane="topRight" activeCell="DX29" sqref="DX29:DZ29"/>
      <selection pane="bottomLeft" activeCell="A31" sqref="A31"/>
      <selection pane="bottomRight" activeCell="I37" sqref="I37"/>
    </sheetView>
  </sheetViews>
  <sheetFormatPr baseColWidth="10" defaultRowHeight="14.5" x14ac:dyDescent="0.35"/>
  <sheetData>
    <row r="1" spans="1:230" x14ac:dyDescent="0.35">
      <c r="DK1" s="41" t="s">
        <v>257</v>
      </c>
      <c r="DL1" s="41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3" t="s">
        <v>258</v>
      </c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5" t="s">
        <v>259</v>
      </c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7" t="s">
        <v>260</v>
      </c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8" t="s">
        <v>265</v>
      </c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39" t="s">
        <v>266</v>
      </c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</row>
    <row r="2" spans="1:230" x14ac:dyDescent="0.35">
      <c r="A2" s="4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/>
      <c r="H2" s="5" t="s">
        <v>6</v>
      </c>
      <c r="I2" s="5" t="s">
        <v>7</v>
      </c>
      <c r="J2" s="5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7" t="s">
        <v>35</v>
      </c>
      <c r="AL2" s="7" t="s">
        <v>36</v>
      </c>
      <c r="AM2" s="7"/>
      <c r="AN2" s="7" t="s">
        <v>37</v>
      </c>
      <c r="AO2" s="7" t="s">
        <v>38</v>
      </c>
      <c r="AP2" s="7" t="s">
        <v>39</v>
      </c>
      <c r="AQ2" s="7" t="s">
        <v>40</v>
      </c>
      <c r="AR2" s="7" t="s">
        <v>41</v>
      </c>
      <c r="AS2" s="7" t="s">
        <v>42</v>
      </c>
      <c r="AT2" s="7" t="s">
        <v>43</v>
      </c>
      <c r="AU2" s="7" t="s">
        <v>44</v>
      </c>
      <c r="AV2" s="7" t="s">
        <v>45</v>
      </c>
      <c r="AW2" s="7" t="s">
        <v>46</v>
      </c>
      <c r="AX2" s="7" t="s">
        <v>47</v>
      </c>
      <c r="AY2" s="7" t="s">
        <v>48</v>
      </c>
      <c r="AZ2" s="7" t="s">
        <v>49</v>
      </c>
      <c r="BA2" s="6" t="s">
        <v>50</v>
      </c>
      <c r="BB2" s="6" t="s">
        <v>70</v>
      </c>
      <c r="BC2" s="6" t="s">
        <v>51</v>
      </c>
      <c r="BD2" s="6" t="s">
        <v>71</v>
      </c>
      <c r="BE2" s="6" t="s">
        <v>72</v>
      </c>
      <c r="BF2" s="6" t="s">
        <v>73</v>
      </c>
      <c r="BG2" s="6" t="s">
        <v>74</v>
      </c>
      <c r="BH2" s="6" t="s">
        <v>75</v>
      </c>
      <c r="BI2" s="6" t="s">
        <v>76</v>
      </c>
      <c r="BJ2" s="6" t="s">
        <v>77</v>
      </c>
      <c r="BK2" s="6" t="s">
        <v>78</v>
      </c>
      <c r="BL2" s="6" t="s">
        <v>79</v>
      </c>
      <c r="BM2" s="6" t="s">
        <v>80</v>
      </c>
      <c r="BN2" s="6" t="s">
        <v>81</v>
      </c>
      <c r="BO2" s="6" t="s">
        <v>82</v>
      </c>
      <c r="BP2" s="6" t="s">
        <v>83</v>
      </c>
      <c r="BQ2" s="6" t="s">
        <v>84</v>
      </c>
      <c r="BR2" s="6" t="s">
        <v>85</v>
      </c>
      <c r="BS2" s="6" t="s">
        <v>86</v>
      </c>
      <c r="BT2" s="6" t="s">
        <v>87</v>
      </c>
      <c r="BU2" s="6" t="s">
        <v>88</v>
      </c>
      <c r="BV2" s="6" t="s">
        <v>89</v>
      </c>
      <c r="BW2" s="6" t="s">
        <v>90</v>
      </c>
      <c r="BX2" s="14" t="s">
        <v>147</v>
      </c>
      <c r="BY2" s="14" t="s">
        <v>148</v>
      </c>
      <c r="BZ2" s="14" t="s">
        <v>149</v>
      </c>
      <c r="CA2" s="14" t="s">
        <v>150</v>
      </c>
      <c r="CB2" s="14" t="s">
        <v>44</v>
      </c>
      <c r="CC2" s="14" t="s">
        <v>45</v>
      </c>
      <c r="CD2" s="14" t="s">
        <v>46</v>
      </c>
      <c r="CE2" s="14" t="s">
        <v>47</v>
      </c>
      <c r="CF2" s="14" t="s">
        <v>48</v>
      </c>
      <c r="CG2" s="14" t="s">
        <v>69</v>
      </c>
      <c r="CH2" s="14" t="s">
        <v>145</v>
      </c>
      <c r="CI2" s="14" t="s">
        <v>151</v>
      </c>
      <c r="CJ2" s="14" t="s">
        <v>152</v>
      </c>
      <c r="CK2" s="14" t="s">
        <v>153</v>
      </c>
      <c r="CL2" s="14" t="s">
        <v>154</v>
      </c>
      <c r="CM2" s="14" t="s">
        <v>155</v>
      </c>
      <c r="CN2" s="14" t="s">
        <v>156</v>
      </c>
      <c r="CO2" s="14" t="s">
        <v>157</v>
      </c>
      <c r="CP2" s="14" t="s">
        <v>158</v>
      </c>
      <c r="CQ2" s="14" t="s">
        <v>159</v>
      </c>
      <c r="CR2" s="14" t="s">
        <v>160</v>
      </c>
      <c r="CS2" s="14" t="s">
        <v>161</v>
      </c>
      <c r="CT2" s="14" t="s">
        <v>162</v>
      </c>
      <c r="CU2" s="14" t="s">
        <v>163</v>
      </c>
      <c r="CV2" s="14" t="s">
        <v>164</v>
      </c>
      <c r="CW2" s="14" t="s">
        <v>165</v>
      </c>
      <c r="CX2" s="14" t="s">
        <v>174</v>
      </c>
      <c r="CY2" s="14" t="s">
        <v>166</v>
      </c>
      <c r="CZ2" s="14" t="s">
        <v>167</v>
      </c>
      <c r="DA2" s="14" t="s">
        <v>168</v>
      </c>
      <c r="DB2" s="14" t="s">
        <v>169</v>
      </c>
      <c r="DC2" s="14" t="s">
        <v>170</v>
      </c>
      <c r="DD2" s="14" t="s">
        <v>171</v>
      </c>
      <c r="DE2" s="14" t="s">
        <v>175</v>
      </c>
      <c r="DF2" s="8" t="s">
        <v>92</v>
      </c>
      <c r="DG2" s="8" t="s">
        <v>91</v>
      </c>
      <c r="DH2" s="9" t="s">
        <v>255</v>
      </c>
      <c r="DI2" s="9"/>
      <c r="DJ2" s="9" t="s">
        <v>256</v>
      </c>
      <c r="DK2" s="10" t="s">
        <v>52</v>
      </c>
      <c r="DL2" s="10"/>
      <c r="DM2" s="10" t="s">
        <v>53</v>
      </c>
      <c r="DN2" s="10" t="s">
        <v>54</v>
      </c>
      <c r="DO2" s="10" t="s">
        <v>55</v>
      </c>
      <c r="DP2" s="10" t="s">
        <v>56</v>
      </c>
      <c r="DQ2" s="10" t="s">
        <v>57</v>
      </c>
      <c r="DR2" s="10" t="s">
        <v>58</v>
      </c>
      <c r="DS2" s="10" t="s">
        <v>93</v>
      </c>
      <c r="DT2" s="10" t="s">
        <v>94</v>
      </c>
      <c r="DU2" s="10" t="s">
        <v>95</v>
      </c>
      <c r="DV2" s="10" t="s">
        <v>96</v>
      </c>
      <c r="DW2" s="10" t="s">
        <v>97</v>
      </c>
      <c r="DX2" s="10" t="s">
        <v>98</v>
      </c>
      <c r="DY2" s="10" t="s">
        <v>99</v>
      </c>
      <c r="DZ2" s="10" t="s">
        <v>100</v>
      </c>
      <c r="EA2" s="10" t="s">
        <v>101</v>
      </c>
      <c r="EB2" s="10" t="s">
        <v>102</v>
      </c>
      <c r="EC2" s="10" t="s">
        <v>103</v>
      </c>
      <c r="ED2" s="10" t="s">
        <v>104</v>
      </c>
      <c r="EE2" s="10" t="s">
        <v>105</v>
      </c>
      <c r="EF2" s="10" t="s">
        <v>106</v>
      </c>
      <c r="EG2" s="10" t="s">
        <v>107</v>
      </c>
      <c r="EH2" s="10" t="s">
        <v>108</v>
      </c>
      <c r="EI2" s="10" t="s">
        <v>109</v>
      </c>
      <c r="EJ2" s="10" t="s">
        <v>110</v>
      </c>
      <c r="EK2" s="10" t="s">
        <v>111</v>
      </c>
      <c r="EL2" s="10" t="s">
        <v>112</v>
      </c>
      <c r="EM2" s="10" t="s">
        <v>118</v>
      </c>
      <c r="EN2" s="10" t="s">
        <v>119</v>
      </c>
      <c r="EO2" s="10" t="s">
        <v>113</v>
      </c>
      <c r="EP2" s="10" t="s">
        <v>114</v>
      </c>
      <c r="EQ2" s="10" t="s">
        <v>115</v>
      </c>
      <c r="ER2" s="10" t="s">
        <v>116</v>
      </c>
      <c r="ES2" s="10" t="s">
        <v>117</v>
      </c>
      <c r="ET2" s="10" t="s">
        <v>120</v>
      </c>
      <c r="EU2" s="5" t="s">
        <v>122</v>
      </c>
      <c r="EV2" s="5" t="s">
        <v>121</v>
      </c>
      <c r="EW2" s="5" t="s">
        <v>59</v>
      </c>
      <c r="EX2" s="5" t="s">
        <v>60</v>
      </c>
      <c r="EY2" s="5" t="s">
        <v>61</v>
      </c>
      <c r="EZ2" s="5" t="s">
        <v>62</v>
      </c>
      <c r="FA2" s="5" t="s">
        <v>63</v>
      </c>
      <c r="FB2" s="5" t="s">
        <v>64</v>
      </c>
      <c r="FC2" s="5" t="s">
        <v>65</v>
      </c>
      <c r="FD2" s="5" t="s">
        <v>66</v>
      </c>
      <c r="FE2" s="5" t="s">
        <v>67</v>
      </c>
      <c r="FF2" s="5" t="s">
        <v>68</v>
      </c>
      <c r="FG2" s="13" t="s">
        <v>123</v>
      </c>
      <c r="FH2" s="13" t="s">
        <v>124</v>
      </c>
      <c r="FI2" s="13" t="s">
        <v>125</v>
      </c>
      <c r="FJ2" s="13" t="s">
        <v>126</v>
      </c>
      <c r="FK2" s="13" t="s">
        <v>127</v>
      </c>
      <c r="FL2" s="13" t="s">
        <v>128</v>
      </c>
      <c r="FM2" s="13" t="s">
        <v>63</v>
      </c>
      <c r="FN2" s="13" t="s">
        <v>129</v>
      </c>
      <c r="FO2" s="13" t="s">
        <v>130</v>
      </c>
      <c r="FP2" s="13" t="s">
        <v>66</v>
      </c>
      <c r="FQ2" s="13" t="s">
        <v>67</v>
      </c>
      <c r="FR2" s="13" t="s">
        <v>68</v>
      </c>
      <c r="FS2" s="12" t="s">
        <v>131</v>
      </c>
      <c r="FT2" s="12" t="s">
        <v>132</v>
      </c>
      <c r="FU2" s="12" t="s">
        <v>133</v>
      </c>
      <c r="FV2" s="12" t="s">
        <v>134</v>
      </c>
      <c r="FW2" s="12" t="s">
        <v>135</v>
      </c>
      <c r="FX2" s="12" t="s">
        <v>30</v>
      </c>
      <c r="FY2" s="12" t="s">
        <v>261</v>
      </c>
      <c r="FZ2" s="12" t="s">
        <v>262</v>
      </c>
      <c r="GA2" s="12" t="s">
        <v>263</v>
      </c>
      <c r="GB2" s="12" t="s">
        <v>264</v>
      </c>
      <c r="GC2" s="12" t="s">
        <v>136</v>
      </c>
      <c r="GD2" s="12" t="s">
        <v>63</v>
      </c>
      <c r="GE2" s="12" t="s">
        <v>137</v>
      </c>
      <c r="GF2" s="12" t="s">
        <v>138</v>
      </c>
      <c r="GG2" s="12" t="s">
        <v>139</v>
      </c>
      <c r="GH2" s="12" t="s">
        <v>140</v>
      </c>
      <c r="GI2" s="12" t="s">
        <v>141</v>
      </c>
      <c r="GJ2" s="11" t="s">
        <v>269</v>
      </c>
      <c r="GK2" s="11" t="s">
        <v>270</v>
      </c>
      <c r="GL2" s="11" t="s">
        <v>271</v>
      </c>
      <c r="GM2" s="11" t="s">
        <v>272</v>
      </c>
      <c r="GN2" s="11" t="s">
        <v>61</v>
      </c>
      <c r="GO2" s="11" t="s">
        <v>273</v>
      </c>
      <c r="GP2" s="11" t="s">
        <v>63</v>
      </c>
      <c r="GQ2" s="11" t="s">
        <v>274</v>
      </c>
      <c r="GR2" s="11" t="s">
        <v>275</v>
      </c>
      <c r="GS2" s="11" t="s">
        <v>66</v>
      </c>
      <c r="GT2" s="11" t="s">
        <v>67</v>
      </c>
      <c r="GU2" s="11" t="s">
        <v>68</v>
      </c>
      <c r="GV2" s="15" t="s">
        <v>276</v>
      </c>
      <c r="GW2" s="15" t="s">
        <v>270</v>
      </c>
      <c r="GX2" s="15" t="s">
        <v>271</v>
      </c>
      <c r="GY2" s="15" t="s">
        <v>60</v>
      </c>
      <c r="GZ2" s="15" t="s">
        <v>61</v>
      </c>
      <c r="HA2" s="15" t="s">
        <v>273</v>
      </c>
      <c r="HB2" s="15" t="s">
        <v>63</v>
      </c>
      <c r="HC2" s="15" t="s">
        <v>64</v>
      </c>
      <c r="HD2" s="15" t="s">
        <v>130</v>
      </c>
      <c r="HE2" s="15" t="s">
        <v>66</v>
      </c>
      <c r="HF2" s="15" t="s">
        <v>67</v>
      </c>
      <c r="HG2" s="15" t="s">
        <v>68</v>
      </c>
      <c r="HH2" s="4" t="s">
        <v>278</v>
      </c>
      <c r="HI2" s="4" t="s">
        <v>277</v>
      </c>
      <c r="HJ2" s="4" t="s">
        <v>177</v>
      </c>
      <c r="HK2" s="4" t="s">
        <v>324</v>
      </c>
      <c r="HL2" s="4" t="s">
        <v>334</v>
      </c>
      <c r="HM2" s="4" t="s">
        <v>325</v>
      </c>
      <c r="HN2" s="4" t="s">
        <v>334</v>
      </c>
      <c r="HO2" s="4" t="s">
        <v>391</v>
      </c>
      <c r="HP2" s="4" t="s">
        <v>332</v>
      </c>
      <c r="HQ2" s="4" t="s">
        <v>334</v>
      </c>
      <c r="HR2" s="4" t="s">
        <v>333</v>
      </c>
      <c r="HS2" s="4" t="s">
        <v>392</v>
      </c>
      <c r="HT2" s="4" t="s">
        <v>393</v>
      </c>
      <c r="HU2" s="4" t="s">
        <v>394</v>
      </c>
      <c r="HV2" s="4" t="s">
        <v>395</v>
      </c>
    </row>
    <row r="3" spans="1:230" x14ac:dyDescent="0.35">
      <c r="A3" t="s">
        <v>187</v>
      </c>
      <c r="B3" t="s">
        <v>188</v>
      </c>
      <c r="C3" s="3">
        <v>24138</v>
      </c>
      <c r="D3">
        <v>57</v>
      </c>
      <c r="E3">
        <v>74.5</v>
      </c>
      <c r="F3">
        <v>165</v>
      </c>
      <c r="G3">
        <f t="shared" ref="G3:G22" si="0">F3/100</f>
        <v>1.65</v>
      </c>
      <c r="H3">
        <f t="shared" ref="H3:H22" si="1">E3/(G3*G3)</f>
        <v>27.364554637281913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1</v>
      </c>
      <c r="AD3">
        <v>0</v>
      </c>
      <c r="AE3">
        <v>0</v>
      </c>
      <c r="AF3">
        <v>61</v>
      </c>
      <c r="AG3">
        <v>0</v>
      </c>
      <c r="AH3">
        <v>0</v>
      </c>
      <c r="AI3">
        <v>0</v>
      </c>
      <c r="AJ3">
        <v>0</v>
      </c>
      <c r="AK3" s="3">
        <v>44971</v>
      </c>
      <c r="AL3" t="s">
        <v>189</v>
      </c>
      <c r="AN3">
        <v>0</v>
      </c>
      <c r="AO3">
        <v>0</v>
      </c>
      <c r="AP3">
        <v>0</v>
      </c>
      <c r="AQ3">
        <v>0</v>
      </c>
      <c r="AR3">
        <v>0</v>
      </c>
      <c r="AS3">
        <v>53</v>
      </c>
      <c r="AT3">
        <v>7</v>
      </c>
      <c r="AU3">
        <v>0</v>
      </c>
      <c r="AV3">
        <v>0</v>
      </c>
      <c r="AW3">
        <v>1</v>
      </c>
      <c r="AX3">
        <v>4</v>
      </c>
      <c r="AY3">
        <v>2</v>
      </c>
      <c r="AZ3">
        <v>0</v>
      </c>
      <c r="BA3">
        <v>12.64</v>
      </c>
      <c r="BB3">
        <v>7</v>
      </c>
      <c r="BC3">
        <v>154</v>
      </c>
      <c r="BD3">
        <v>61</v>
      </c>
      <c r="BE3">
        <v>15.4</v>
      </c>
      <c r="BF3">
        <v>282</v>
      </c>
      <c r="BG3">
        <v>126</v>
      </c>
      <c r="BH3">
        <v>92</v>
      </c>
      <c r="BI3">
        <v>59</v>
      </c>
      <c r="BJ3">
        <v>225</v>
      </c>
      <c r="BK3" t="s">
        <v>144</v>
      </c>
      <c r="BL3">
        <v>29.1</v>
      </c>
      <c r="BM3">
        <v>7.31</v>
      </c>
      <c r="BN3">
        <v>84</v>
      </c>
      <c r="BO3">
        <v>23</v>
      </c>
      <c r="BP3">
        <v>12</v>
      </c>
      <c r="BQ3">
        <v>7.1</v>
      </c>
      <c r="BR3">
        <v>28</v>
      </c>
      <c r="BS3">
        <v>32</v>
      </c>
      <c r="BT3">
        <v>2750</v>
      </c>
      <c r="BU3">
        <v>871</v>
      </c>
      <c r="BV3">
        <v>3820</v>
      </c>
      <c r="BW3">
        <v>506</v>
      </c>
      <c r="BX3" s="3">
        <v>44971</v>
      </c>
      <c r="BY3">
        <v>0</v>
      </c>
      <c r="BZ3">
        <v>74.5</v>
      </c>
      <c r="CA3">
        <v>7</v>
      </c>
      <c r="CB3">
        <v>0</v>
      </c>
      <c r="CC3">
        <v>0</v>
      </c>
      <c r="CD3">
        <v>1</v>
      </c>
      <c r="CE3">
        <v>4</v>
      </c>
      <c r="CF3">
        <v>2</v>
      </c>
      <c r="CG3">
        <v>0</v>
      </c>
      <c r="CH3">
        <v>12.64</v>
      </c>
      <c r="CI3">
        <v>7</v>
      </c>
      <c r="CJ3">
        <v>154</v>
      </c>
      <c r="CK3">
        <v>61</v>
      </c>
      <c r="CL3">
        <v>15.4</v>
      </c>
      <c r="CM3">
        <v>282</v>
      </c>
      <c r="CN3">
        <v>126</v>
      </c>
      <c r="CO3">
        <v>92</v>
      </c>
      <c r="CP3">
        <v>59</v>
      </c>
      <c r="CQ3">
        <v>225</v>
      </c>
      <c r="CR3" t="s">
        <v>144</v>
      </c>
      <c r="CS3">
        <v>29.1</v>
      </c>
      <c r="CT3">
        <v>7.31</v>
      </c>
      <c r="CU3">
        <v>84</v>
      </c>
      <c r="CV3">
        <v>23</v>
      </c>
      <c r="CW3">
        <v>12</v>
      </c>
      <c r="CX3">
        <v>7.1</v>
      </c>
      <c r="CY3">
        <v>28</v>
      </c>
      <c r="CZ3">
        <v>32</v>
      </c>
      <c r="DA3">
        <v>2750</v>
      </c>
      <c r="DB3">
        <v>871</v>
      </c>
      <c r="DC3">
        <v>3820</v>
      </c>
      <c r="DD3">
        <v>506</v>
      </c>
      <c r="DE3" t="s">
        <v>191</v>
      </c>
      <c r="DF3">
        <v>2</v>
      </c>
      <c r="DG3">
        <v>100</v>
      </c>
      <c r="DI3">
        <v>0</v>
      </c>
      <c r="DJ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121</v>
      </c>
      <c r="DT3">
        <v>84</v>
      </c>
      <c r="DU3">
        <v>94</v>
      </c>
      <c r="DV3">
        <v>101</v>
      </c>
      <c r="DW3">
        <v>36.5</v>
      </c>
      <c r="DX3">
        <v>1</v>
      </c>
      <c r="DY3">
        <v>0</v>
      </c>
      <c r="DZ3">
        <v>0</v>
      </c>
      <c r="EA3" t="s">
        <v>144</v>
      </c>
      <c r="EB3" t="s">
        <v>144</v>
      </c>
      <c r="EC3">
        <v>2</v>
      </c>
      <c r="ED3">
        <v>6</v>
      </c>
      <c r="EE3">
        <v>60</v>
      </c>
      <c r="EF3">
        <v>16</v>
      </c>
      <c r="EG3">
        <v>0</v>
      </c>
      <c r="EH3">
        <v>0</v>
      </c>
      <c r="EI3">
        <v>0</v>
      </c>
      <c r="EJ3">
        <v>0.9</v>
      </c>
      <c r="EK3">
        <v>4.2</v>
      </c>
      <c r="EL3" t="s">
        <v>144</v>
      </c>
      <c r="EM3" t="s">
        <v>144</v>
      </c>
      <c r="EN3" t="s">
        <v>144</v>
      </c>
      <c r="EO3" t="s">
        <v>144</v>
      </c>
      <c r="EP3">
        <v>4.0199999999999996</v>
      </c>
      <c r="EQ3">
        <v>14.24</v>
      </c>
      <c r="ER3">
        <v>2</v>
      </c>
      <c r="ES3">
        <v>10.35</v>
      </c>
      <c r="ET3">
        <v>27.77</v>
      </c>
      <c r="EU3">
        <v>120</v>
      </c>
      <c r="EV3">
        <v>82</v>
      </c>
      <c r="EW3">
        <v>95</v>
      </c>
      <c r="EX3">
        <v>102</v>
      </c>
      <c r="EY3">
        <v>11.4</v>
      </c>
      <c r="EZ3" t="s">
        <v>144</v>
      </c>
      <c r="FA3" t="s">
        <v>144</v>
      </c>
      <c r="FB3" s="1">
        <v>3.12</v>
      </c>
      <c r="FC3">
        <v>18.88</v>
      </c>
      <c r="FD3">
        <v>2.6</v>
      </c>
      <c r="FE3">
        <v>11.9</v>
      </c>
      <c r="FF3">
        <v>28.56</v>
      </c>
      <c r="FG3">
        <v>123</v>
      </c>
      <c r="FH3">
        <v>82</v>
      </c>
      <c r="FI3">
        <v>94</v>
      </c>
      <c r="FJ3">
        <v>101</v>
      </c>
      <c r="FK3">
        <v>6.5</v>
      </c>
      <c r="FL3" t="s">
        <v>144</v>
      </c>
      <c r="FM3" t="s">
        <v>144</v>
      </c>
      <c r="FN3">
        <v>3.49</v>
      </c>
      <c r="FO3">
        <v>15.21</v>
      </c>
      <c r="FP3">
        <v>2.74</v>
      </c>
      <c r="FQ3">
        <v>10.93</v>
      </c>
      <c r="FR3">
        <v>39.119999999999997</v>
      </c>
      <c r="FS3">
        <v>121</v>
      </c>
      <c r="FT3">
        <v>79</v>
      </c>
      <c r="FU3">
        <v>93</v>
      </c>
      <c r="FV3">
        <v>108</v>
      </c>
      <c r="FW3">
        <v>8.1</v>
      </c>
      <c r="GC3" t="s">
        <v>144</v>
      </c>
      <c r="GD3" t="s">
        <v>144</v>
      </c>
      <c r="GE3">
        <v>2.59</v>
      </c>
      <c r="GF3">
        <v>33.119999999999997</v>
      </c>
      <c r="GG3">
        <v>4.4800000000000004</v>
      </c>
      <c r="GH3">
        <v>22.52</v>
      </c>
      <c r="GI3">
        <v>62.87</v>
      </c>
      <c r="HI3">
        <v>1</v>
      </c>
      <c r="HJ3" s="3">
        <v>44954</v>
      </c>
      <c r="HK3">
        <f t="shared" ref="HK3:HK22" si="2">FC3-EQ3</f>
        <v>4.6399999999999988</v>
      </c>
      <c r="HL3" s="16">
        <f t="shared" ref="HL3:HL22" si="3">HK3/EQ3</f>
        <v>0.32584269662921339</v>
      </c>
      <c r="HM3">
        <f t="shared" ref="HM3:HM22" si="4">GF3-FO3</f>
        <v>17.909999999999997</v>
      </c>
      <c r="HN3" s="16">
        <f t="shared" ref="HN3:HN22" si="5">HM3/FO3</f>
        <v>1.1775147928994081</v>
      </c>
      <c r="HO3" s="26">
        <f t="shared" ref="HO3:HO22" si="6">HM3-HK3</f>
        <v>13.269999999999998</v>
      </c>
      <c r="HQ3" s="16"/>
      <c r="HS3">
        <f>EY3-ED3</f>
        <v>5.4</v>
      </c>
      <c r="HT3" s="28">
        <f>(HS3/ED3)*100</f>
        <v>90</v>
      </c>
      <c r="HU3">
        <f>FW3-FK3</f>
        <v>1.5999999999999996</v>
      </c>
      <c r="HV3" s="29">
        <f>(HU3/FK3)*100</f>
        <v>24.61538461538461</v>
      </c>
    </row>
    <row r="4" spans="1:230" x14ac:dyDescent="0.35">
      <c r="A4" t="s">
        <v>322</v>
      </c>
      <c r="B4" t="s">
        <v>323</v>
      </c>
      <c r="C4" s="3">
        <v>16157</v>
      </c>
      <c r="D4">
        <v>79</v>
      </c>
      <c r="E4">
        <v>53</v>
      </c>
      <c r="F4">
        <v>170</v>
      </c>
      <c r="G4">
        <f t="shared" si="0"/>
        <v>1.7</v>
      </c>
      <c r="H4">
        <f t="shared" si="1"/>
        <v>18.339100346020764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 t="s">
        <v>144</v>
      </c>
      <c r="AK4" s="3">
        <v>45138</v>
      </c>
      <c r="AL4" t="s">
        <v>40</v>
      </c>
      <c r="AN4">
        <v>0</v>
      </c>
      <c r="AO4">
        <v>0</v>
      </c>
      <c r="AP4">
        <v>0</v>
      </c>
      <c r="AQ4">
        <v>1</v>
      </c>
      <c r="AR4">
        <v>0</v>
      </c>
      <c r="AT4">
        <v>4</v>
      </c>
      <c r="AU4">
        <v>1</v>
      </c>
      <c r="AV4">
        <v>0</v>
      </c>
      <c r="AW4">
        <v>0</v>
      </c>
      <c r="AX4">
        <v>0</v>
      </c>
      <c r="AY4">
        <v>1</v>
      </c>
      <c r="AZ4">
        <v>2</v>
      </c>
      <c r="BA4">
        <v>0.75</v>
      </c>
      <c r="BB4">
        <v>7.4</v>
      </c>
      <c r="BC4">
        <v>62</v>
      </c>
      <c r="BD4">
        <v>53</v>
      </c>
      <c r="BE4">
        <v>5</v>
      </c>
      <c r="BF4">
        <v>61</v>
      </c>
      <c r="BG4">
        <v>133</v>
      </c>
      <c r="BH4">
        <v>100</v>
      </c>
      <c r="BI4">
        <v>20</v>
      </c>
      <c r="BJ4">
        <v>59</v>
      </c>
      <c r="BK4">
        <v>0.11</v>
      </c>
      <c r="BL4">
        <v>27.4</v>
      </c>
      <c r="BM4">
        <v>7.49</v>
      </c>
      <c r="BN4">
        <v>105</v>
      </c>
      <c r="BO4">
        <v>30</v>
      </c>
      <c r="BP4">
        <v>23</v>
      </c>
      <c r="BQ4">
        <v>0.8</v>
      </c>
      <c r="BT4">
        <v>18</v>
      </c>
      <c r="BU4">
        <v>29</v>
      </c>
      <c r="BV4">
        <v>452</v>
      </c>
      <c r="BW4">
        <v>32</v>
      </c>
      <c r="BX4" s="3">
        <v>45138</v>
      </c>
      <c r="BY4">
        <v>1</v>
      </c>
      <c r="BZ4">
        <v>53</v>
      </c>
      <c r="CA4">
        <v>4</v>
      </c>
      <c r="CB4">
        <v>1</v>
      </c>
      <c r="CC4">
        <v>0</v>
      </c>
      <c r="CD4">
        <v>0</v>
      </c>
      <c r="CE4">
        <v>0</v>
      </c>
      <c r="CF4">
        <v>1</v>
      </c>
      <c r="CG4">
        <v>2</v>
      </c>
      <c r="CH4">
        <v>0.75</v>
      </c>
      <c r="CI4">
        <v>7.4</v>
      </c>
      <c r="CJ4">
        <v>62</v>
      </c>
      <c r="CK4">
        <v>53</v>
      </c>
      <c r="CL4">
        <v>5</v>
      </c>
      <c r="CM4">
        <v>61</v>
      </c>
      <c r="CN4">
        <v>133</v>
      </c>
      <c r="CO4">
        <v>100</v>
      </c>
      <c r="CP4">
        <v>20</v>
      </c>
      <c r="CQ4">
        <v>59</v>
      </c>
      <c r="CR4">
        <v>0.11</v>
      </c>
      <c r="CS4">
        <v>27.4</v>
      </c>
      <c r="CT4">
        <v>7.49</v>
      </c>
      <c r="CU4">
        <v>105</v>
      </c>
      <c r="CV4">
        <v>30</v>
      </c>
      <c r="CW4">
        <v>23</v>
      </c>
      <c r="CX4">
        <v>0.8</v>
      </c>
      <c r="DA4">
        <v>18</v>
      </c>
      <c r="DB4">
        <v>29</v>
      </c>
      <c r="DC4">
        <v>452</v>
      </c>
      <c r="DD4">
        <v>32</v>
      </c>
      <c r="DE4">
        <v>1</v>
      </c>
      <c r="DF4">
        <v>2</v>
      </c>
      <c r="DG4">
        <v>100</v>
      </c>
      <c r="DH4">
        <v>500</v>
      </c>
      <c r="DI4">
        <v>1</v>
      </c>
      <c r="DJ4">
        <v>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82</v>
      </c>
      <c r="DT4">
        <v>31</v>
      </c>
      <c r="DU4">
        <v>46</v>
      </c>
      <c r="DV4">
        <v>70</v>
      </c>
      <c r="DW4">
        <v>36.5</v>
      </c>
      <c r="DX4">
        <v>1</v>
      </c>
      <c r="DY4">
        <v>0</v>
      </c>
      <c r="DZ4">
        <v>0</v>
      </c>
      <c r="EA4">
        <v>0</v>
      </c>
      <c r="EC4">
        <v>0</v>
      </c>
      <c r="ED4">
        <v>3.5</v>
      </c>
      <c r="EE4">
        <v>50</v>
      </c>
      <c r="EF4">
        <v>13</v>
      </c>
      <c r="EG4">
        <v>100</v>
      </c>
      <c r="EH4">
        <v>0</v>
      </c>
      <c r="EI4">
        <v>0</v>
      </c>
      <c r="EJ4">
        <v>1</v>
      </c>
      <c r="EK4">
        <v>7</v>
      </c>
      <c r="EL4" t="s">
        <v>144</v>
      </c>
      <c r="EM4" t="s">
        <v>144</v>
      </c>
      <c r="EN4" t="s">
        <v>144</v>
      </c>
      <c r="EO4">
        <v>3</v>
      </c>
      <c r="EP4">
        <v>2.7</v>
      </c>
      <c r="EQ4">
        <v>33.119999999999997</v>
      </c>
      <c r="ER4">
        <v>25.8</v>
      </c>
      <c r="ES4">
        <v>17.8</v>
      </c>
      <c r="ET4">
        <v>260.7</v>
      </c>
      <c r="EU4">
        <v>93</v>
      </c>
      <c r="EV4">
        <v>37</v>
      </c>
      <c r="EW4">
        <v>58</v>
      </c>
      <c r="EX4">
        <v>87</v>
      </c>
      <c r="EY4">
        <v>5.0999999999999996</v>
      </c>
      <c r="EZ4" t="s">
        <v>144</v>
      </c>
      <c r="FA4">
        <v>3</v>
      </c>
      <c r="FB4">
        <v>1.98</v>
      </c>
      <c r="FC4">
        <v>46.23</v>
      </c>
      <c r="FG4">
        <v>104</v>
      </c>
      <c r="FH4">
        <v>46</v>
      </c>
      <c r="FI4">
        <v>65</v>
      </c>
      <c r="FJ4">
        <v>87</v>
      </c>
      <c r="FK4">
        <v>3.6</v>
      </c>
      <c r="FL4" t="s">
        <v>144</v>
      </c>
      <c r="FM4">
        <v>3</v>
      </c>
      <c r="FN4">
        <v>2.6</v>
      </c>
      <c r="FO4">
        <v>21.6</v>
      </c>
      <c r="FS4">
        <v>100</v>
      </c>
      <c r="FT4">
        <v>42</v>
      </c>
      <c r="FU4">
        <v>60</v>
      </c>
      <c r="FV4">
        <v>81</v>
      </c>
      <c r="FW4">
        <v>4.2</v>
      </c>
      <c r="GD4">
        <v>2</v>
      </c>
      <c r="GE4">
        <v>2.1</v>
      </c>
      <c r="GF4">
        <v>40.119999999999997</v>
      </c>
      <c r="GJ4">
        <v>104</v>
      </c>
      <c r="GK4">
        <v>45</v>
      </c>
      <c r="GL4">
        <v>65</v>
      </c>
      <c r="GM4">
        <v>80</v>
      </c>
      <c r="GN4">
        <v>4</v>
      </c>
      <c r="GO4" t="s">
        <v>144</v>
      </c>
      <c r="GP4">
        <v>2</v>
      </c>
      <c r="GQ4">
        <v>2.8</v>
      </c>
      <c r="GR4">
        <v>21.02</v>
      </c>
      <c r="GV4">
        <v>103</v>
      </c>
      <c r="GW4">
        <v>43</v>
      </c>
      <c r="GX4">
        <v>64</v>
      </c>
      <c r="GY4">
        <v>83</v>
      </c>
      <c r="GZ4">
        <v>4.0999999999999996</v>
      </c>
      <c r="HB4">
        <v>2</v>
      </c>
      <c r="HC4">
        <v>2.5</v>
      </c>
      <c r="HD4">
        <v>27.2</v>
      </c>
      <c r="HK4">
        <f t="shared" si="2"/>
        <v>13.11</v>
      </c>
      <c r="HL4" s="16">
        <f t="shared" si="3"/>
        <v>0.39583333333333337</v>
      </c>
      <c r="HM4">
        <f t="shared" si="4"/>
        <v>18.519999999999996</v>
      </c>
      <c r="HN4" s="16">
        <f t="shared" si="5"/>
        <v>0.85740740740740717</v>
      </c>
      <c r="HO4" s="26">
        <f t="shared" si="6"/>
        <v>5.4099999999999966</v>
      </c>
      <c r="HP4">
        <f>HD4-FO4</f>
        <v>5.5999999999999979</v>
      </c>
      <c r="HQ4" s="16">
        <f>HP4/FO4</f>
        <v>0.25925925925925913</v>
      </c>
      <c r="HR4">
        <f>HD4-GF4</f>
        <v>-12.919999999999998</v>
      </c>
      <c r="HS4">
        <f>EY4-ED4</f>
        <v>1.5999999999999996</v>
      </c>
      <c r="HT4" s="28">
        <f>(HS4/ED4)*100</f>
        <v>45.714285714285701</v>
      </c>
      <c r="HU4">
        <f>FW4-FK4</f>
        <v>0.60000000000000009</v>
      </c>
      <c r="HV4" s="29">
        <f>(HU4/FK4)*100</f>
        <v>16.666666666666668</v>
      </c>
    </row>
    <row r="5" spans="1:230" x14ac:dyDescent="0.35">
      <c r="A5" t="s">
        <v>142</v>
      </c>
      <c r="B5" t="s">
        <v>143</v>
      </c>
      <c r="C5" s="3">
        <v>26819</v>
      </c>
      <c r="D5">
        <v>49</v>
      </c>
      <c r="E5">
        <v>55</v>
      </c>
      <c r="F5">
        <v>161</v>
      </c>
      <c r="G5">
        <f t="shared" si="0"/>
        <v>1.61</v>
      </c>
      <c r="H5">
        <f t="shared" si="1"/>
        <v>21.218317194552675</v>
      </c>
      <c r="I5">
        <v>0</v>
      </c>
      <c r="J5">
        <v>1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144</v>
      </c>
      <c r="AG5">
        <v>0</v>
      </c>
      <c r="AH5">
        <v>0</v>
      </c>
      <c r="AI5">
        <v>0</v>
      </c>
      <c r="AJ5">
        <v>0</v>
      </c>
      <c r="AK5" s="3">
        <v>44957</v>
      </c>
      <c r="AL5" t="s">
        <v>172</v>
      </c>
      <c r="AN5">
        <v>1</v>
      </c>
      <c r="AO5">
        <v>0</v>
      </c>
      <c r="AP5">
        <v>0</v>
      </c>
      <c r="AQ5">
        <v>0</v>
      </c>
      <c r="AR5">
        <v>0</v>
      </c>
      <c r="AS5">
        <v>15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8.1</v>
      </c>
      <c r="BB5">
        <v>8.3000000000000007</v>
      </c>
      <c r="BC5">
        <v>547</v>
      </c>
      <c r="BD5">
        <v>73</v>
      </c>
      <c r="BE5">
        <v>3.9</v>
      </c>
      <c r="BF5">
        <v>48</v>
      </c>
      <c r="BG5">
        <v>129</v>
      </c>
      <c r="BH5">
        <v>98</v>
      </c>
      <c r="BI5">
        <v>23</v>
      </c>
      <c r="BJ5">
        <v>102</v>
      </c>
      <c r="BK5" t="s">
        <v>144</v>
      </c>
      <c r="BL5" t="s">
        <v>144</v>
      </c>
      <c r="BM5" t="s">
        <v>144</v>
      </c>
      <c r="BN5" t="s">
        <v>144</v>
      </c>
      <c r="BO5" t="s">
        <v>144</v>
      </c>
      <c r="BP5">
        <v>24</v>
      </c>
      <c r="BQ5" t="s">
        <v>144</v>
      </c>
      <c r="BR5">
        <v>78</v>
      </c>
      <c r="BS5">
        <v>76</v>
      </c>
      <c r="BT5">
        <v>45</v>
      </c>
      <c r="BU5">
        <v>41</v>
      </c>
      <c r="BV5">
        <v>436</v>
      </c>
      <c r="BW5">
        <v>84</v>
      </c>
      <c r="BX5" s="3">
        <v>44958</v>
      </c>
      <c r="BY5">
        <v>17</v>
      </c>
      <c r="BZ5">
        <v>55</v>
      </c>
      <c r="CA5">
        <v>1</v>
      </c>
      <c r="CB5">
        <v>0</v>
      </c>
      <c r="CC5">
        <v>0</v>
      </c>
      <c r="CD5">
        <v>0</v>
      </c>
      <c r="CE5">
        <v>0</v>
      </c>
      <c r="CF5">
        <v>1</v>
      </c>
      <c r="CG5">
        <v>0</v>
      </c>
      <c r="CH5">
        <v>26.55</v>
      </c>
      <c r="CI5">
        <v>7.6</v>
      </c>
      <c r="CJ5">
        <v>629</v>
      </c>
      <c r="CK5">
        <v>79</v>
      </c>
      <c r="CL5">
        <v>4.4000000000000004</v>
      </c>
      <c r="CM5">
        <v>46</v>
      </c>
      <c r="CN5">
        <v>131</v>
      </c>
      <c r="CO5">
        <v>99</v>
      </c>
      <c r="CP5">
        <v>30</v>
      </c>
      <c r="CQ5">
        <v>102</v>
      </c>
      <c r="CR5" t="s">
        <v>144</v>
      </c>
      <c r="CS5">
        <v>16.7</v>
      </c>
      <c r="CT5">
        <v>7.39</v>
      </c>
      <c r="CU5">
        <v>84</v>
      </c>
      <c r="CV5">
        <v>33</v>
      </c>
      <c r="CW5">
        <v>20</v>
      </c>
      <c r="CX5">
        <v>2.4</v>
      </c>
      <c r="CY5">
        <v>72</v>
      </c>
      <c r="CZ5" t="s">
        <v>144</v>
      </c>
      <c r="DA5">
        <v>62</v>
      </c>
      <c r="DB5">
        <v>37</v>
      </c>
      <c r="DC5">
        <v>576</v>
      </c>
      <c r="DD5">
        <v>1416</v>
      </c>
      <c r="DE5">
        <v>3</v>
      </c>
      <c r="DF5">
        <v>2</v>
      </c>
      <c r="DG5">
        <v>100</v>
      </c>
      <c r="DH5">
        <v>2250</v>
      </c>
      <c r="DI5">
        <v>1</v>
      </c>
      <c r="DJ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151</v>
      </c>
      <c r="DT5">
        <v>91</v>
      </c>
      <c r="DU5">
        <v>108</v>
      </c>
      <c r="DV5">
        <v>134</v>
      </c>
      <c r="DW5">
        <v>36.799999999999997</v>
      </c>
      <c r="DX5">
        <v>1</v>
      </c>
      <c r="DY5">
        <v>0</v>
      </c>
      <c r="DZ5">
        <v>0</v>
      </c>
      <c r="EA5" t="s">
        <v>176</v>
      </c>
      <c r="EB5" t="s">
        <v>176</v>
      </c>
      <c r="EC5">
        <v>0</v>
      </c>
      <c r="ED5">
        <v>6.1</v>
      </c>
      <c r="EE5">
        <v>60</v>
      </c>
      <c r="EF5">
        <v>9</v>
      </c>
      <c r="EG5">
        <v>50</v>
      </c>
      <c r="EH5">
        <v>0</v>
      </c>
      <c r="EI5">
        <v>0</v>
      </c>
      <c r="EJ5">
        <v>0.8</v>
      </c>
      <c r="EK5">
        <v>7.2</v>
      </c>
      <c r="EL5" t="s">
        <v>144</v>
      </c>
      <c r="EM5" t="s">
        <v>144</v>
      </c>
      <c r="EN5" t="s">
        <v>144</v>
      </c>
      <c r="EO5">
        <v>1</v>
      </c>
      <c r="EP5">
        <v>2.29</v>
      </c>
      <c r="EQ5">
        <v>29.24</v>
      </c>
      <c r="ER5">
        <v>3.93</v>
      </c>
      <c r="ES5">
        <v>24.23</v>
      </c>
      <c r="ET5">
        <v>53.04</v>
      </c>
      <c r="EU5">
        <v>150</v>
      </c>
      <c r="EV5">
        <v>88</v>
      </c>
      <c r="EW5">
        <v>109</v>
      </c>
      <c r="EX5">
        <v>134</v>
      </c>
      <c r="EY5">
        <v>7.1</v>
      </c>
      <c r="EZ5" t="s">
        <v>144</v>
      </c>
      <c r="FA5">
        <v>1</v>
      </c>
      <c r="FB5">
        <v>2.19</v>
      </c>
      <c r="FC5">
        <v>35.119999999999997</v>
      </c>
      <c r="FD5">
        <v>3.48</v>
      </c>
      <c r="FE5">
        <v>26.89</v>
      </c>
      <c r="FF5">
        <v>54.57</v>
      </c>
      <c r="FG5">
        <v>162</v>
      </c>
      <c r="FH5">
        <v>101</v>
      </c>
      <c r="FI5">
        <v>121</v>
      </c>
      <c r="FJ5">
        <v>135</v>
      </c>
      <c r="FK5">
        <v>6.1</v>
      </c>
      <c r="FL5" t="s">
        <v>144</v>
      </c>
      <c r="FM5">
        <v>1</v>
      </c>
      <c r="FN5">
        <v>2.25</v>
      </c>
      <c r="FO5">
        <v>34.57</v>
      </c>
      <c r="FP5">
        <v>4.92</v>
      </c>
      <c r="FQ5">
        <v>27.44</v>
      </c>
      <c r="FR5">
        <v>67.319999999999993</v>
      </c>
      <c r="FS5">
        <v>163</v>
      </c>
      <c r="FT5">
        <v>98</v>
      </c>
      <c r="FU5">
        <v>116</v>
      </c>
      <c r="FV5">
        <v>133</v>
      </c>
      <c r="FW5">
        <v>5.9</v>
      </c>
      <c r="GC5" t="s">
        <v>144</v>
      </c>
      <c r="GD5">
        <v>0</v>
      </c>
      <c r="GE5">
        <v>2.12</v>
      </c>
      <c r="GF5">
        <v>53.32</v>
      </c>
      <c r="GG5">
        <v>2.92</v>
      </c>
      <c r="GH5">
        <v>46.02</v>
      </c>
      <c r="GI5">
        <v>68.88</v>
      </c>
      <c r="HK5">
        <f t="shared" si="2"/>
        <v>5.879999999999999</v>
      </c>
      <c r="HL5" s="16">
        <f t="shared" si="3"/>
        <v>0.20109439124487002</v>
      </c>
      <c r="HM5">
        <f t="shared" si="4"/>
        <v>18.75</v>
      </c>
      <c r="HN5" s="16">
        <f t="shared" si="5"/>
        <v>0.54237778420595895</v>
      </c>
      <c r="HO5" s="26">
        <f t="shared" si="6"/>
        <v>12.870000000000001</v>
      </c>
      <c r="HQ5" s="16"/>
      <c r="HS5">
        <f>EY5-ED5</f>
        <v>1</v>
      </c>
      <c r="HT5" s="28">
        <f>(HS5/ED5)*100</f>
        <v>16.393442622950822</v>
      </c>
      <c r="HU5">
        <f>FW5-FK5</f>
        <v>-0.19999999999999929</v>
      </c>
      <c r="HV5" s="28">
        <f>(HU5/FK5)*100</f>
        <v>-3.2786885245901525</v>
      </c>
    </row>
    <row r="6" spans="1:230" x14ac:dyDescent="0.35">
      <c r="A6" t="s">
        <v>372</v>
      </c>
      <c r="B6" t="s">
        <v>373</v>
      </c>
      <c r="C6" s="3">
        <v>21539</v>
      </c>
      <c r="D6">
        <v>64</v>
      </c>
      <c r="F6">
        <v>160</v>
      </c>
      <c r="G6">
        <f t="shared" si="0"/>
        <v>1.6</v>
      </c>
      <c r="H6">
        <f t="shared" si="1"/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K6" s="3">
        <v>45214</v>
      </c>
      <c r="AL6" t="s">
        <v>39</v>
      </c>
      <c r="AN6">
        <v>0</v>
      </c>
      <c r="AO6">
        <v>0</v>
      </c>
      <c r="AP6">
        <v>1</v>
      </c>
      <c r="AQ6">
        <v>0</v>
      </c>
      <c r="AR6">
        <v>0</v>
      </c>
      <c r="AT6">
        <v>9</v>
      </c>
      <c r="AU6">
        <v>4</v>
      </c>
      <c r="AV6">
        <v>1</v>
      </c>
      <c r="AW6">
        <v>0</v>
      </c>
      <c r="AX6">
        <v>0</v>
      </c>
      <c r="AY6">
        <v>2</v>
      </c>
      <c r="AZ6">
        <v>2</v>
      </c>
      <c r="BA6">
        <v>5.7</v>
      </c>
      <c r="BB6">
        <v>7.3</v>
      </c>
      <c r="BC6">
        <v>68</v>
      </c>
      <c r="BD6">
        <v>52</v>
      </c>
      <c r="BE6">
        <v>6.4</v>
      </c>
      <c r="BF6">
        <v>68</v>
      </c>
      <c r="BG6">
        <v>137</v>
      </c>
      <c r="BH6">
        <v>102</v>
      </c>
      <c r="BI6">
        <v>40</v>
      </c>
      <c r="BJ6">
        <v>39</v>
      </c>
      <c r="BK6">
        <v>0.2</v>
      </c>
      <c r="BL6">
        <v>17.5</v>
      </c>
      <c r="BM6">
        <v>7.5</v>
      </c>
      <c r="BN6">
        <v>386</v>
      </c>
      <c r="BO6">
        <v>37</v>
      </c>
      <c r="BP6">
        <v>29</v>
      </c>
      <c r="BQ6">
        <v>2.1</v>
      </c>
      <c r="BR6">
        <v>53</v>
      </c>
      <c r="BS6">
        <v>62</v>
      </c>
      <c r="BT6">
        <v>28</v>
      </c>
      <c r="BU6">
        <v>16</v>
      </c>
      <c r="BV6">
        <v>419</v>
      </c>
      <c r="BW6">
        <v>58</v>
      </c>
      <c r="BX6" s="3">
        <v>45216</v>
      </c>
      <c r="BY6">
        <v>42</v>
      </c>
      <c r="CA6">
        <v>5</v>
      </c>
      <c r="CB6">
        <v>1</v>
      </c>
      <c r="CC6">
        <v>0</v>
      </c>
      <c r="CD6">
        <v>0</v>
      </c>
      <c r="CE6">
        <v>0</v>
      </c>
      <c r="CF6">
        <v>2</v>
      </c>
      <c r="CG6">
        <v>2</v>
      </c>
      <c r="CH6">
        <v>11.15</v>
      </c>
      <c r="CI6">
        <v>7.3</v>
      </c>
      <c r="CJ6">
        <v>78</v>
      </c>
      <c r="CL6">
        <v>6.6</v>
      </c>
      <c r="CM6">
        <v>92</v>
      </c>
      <c r="CN6">
        <v>138</v>
      </c>
      <c r="CO6">
        <v>107</v>
      </c>
      <c r="CP6">
        <v>39</v>
      </c>
      <c r="DA6">
        <v>46</v>
      </c>
      <c r="DB6">
        <v>28</v>
      </c>
      <c r="DC6">
        <v>403</v>
      </c>
      <c r="DD6">
        <v>125</v>
      </c>
      <c r="DE6">
        <v>1</v>
      </c>
      <c r="DF6">
        <v>2</v>
      </c>
      <c r="DG6">
        <v>100</v>
      </c>
      <c r="DI6">
        <v>0</v>
      </c>
      <c r="DJ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102</v>
      </c>
      <c r="DT6">
        <v>48</v>
      </c>
      <c r="DU6">
        <v>70</v>
      </c>
      <c r="DV6">
        <v>86</v>
      </c>
      <c r="DW6">
        <v>36.700000000000003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O6">
        <v>0</v>
      </c>
      <c r="EP6">
        <v>2.2000000000000002</v>
      </c>
      <c r="EQ6">
        <v>94.01</v>
      </c>
      <c r="EU6">
        <v>101</v>
      </c>
      <c r="EV6">
        <v>46</v>
      </c>
      <c r="EW6">
        <v>67</v>
      </c>
      <c r="EX6">
        <v>85</v>
      </c>
      <c r="FB6">
        <v>1.6</v>
      </c>
      <c r="FC6">
        <v>131.31</v>
      </c>
      <c r="FG6">
        <v>104</v>
      </c>
      <c r="FH6">
        <v>47</v>
      </c>
      <c r="FI6">
        <v>67</v>
      </c>
      <c r="FJ6">
        <v>79</v>
      </c>
      <c r="FN6">
        <v>1.8</v>
      </c>
      <c r="FO6">
        <v>111.14</v>
      </c>
      <c r="FS6">
        <v>102</v>
      </c>
      <c r="FT6">
        <v>49</v>
      </c>
      <c r="FU6">
        <v>68</v>
      </c>
      <c r="FV6">
        <v>87</v>
      </c>
      <c r="GE6">
        <v>1.04</v>
      </c>
      <c r="GF6">
        <v>132.13999999999999</v>
      </c>
      <c r="GV6">
        <v>99</v>
      </c>
      <c r="GW6">
        <v>49</v>
      </c>
      <c r="GX6">
        <v>68</v>
      </c>
      <c r="GY6">
        <v>91</v>
      </c>
      <c r="HC6">
        <v>1.02</v>
      </c>
      <c r="HD6">
        <v>183.76</v>
      </c>
      <c r="HK6">
        <f t="shared" si="2"/>
        <v>37.299999999999997</v>
      </c>
      <c r="HL6" s="16">
        <f t="shared" si="3"/>
        <v>0.39676630145729175</v>
      </c>
      <c r="HM6">
        <f t="shared" si="4"/>
        <v>20.999999999999986</v>
      </c>
      <c r="HN6" s="16">
        <f t="shared" si="5"/>
        <v>0.18895087277307887</v>
      </c>
      <c r="HO6" s="26">
        <f t="shared" si="6"/>
        <v>-16.300000000000011</v>
      </c>
      <c r="HP6">
        <f t="shared" ref="HP6:HP12" si="7">HD6-FO6</f>
        <v>72.61999999999999</v>
      </c>
      <c r="HT6" s="28"/>
      <c r="HV6" s="28"/>
    </row>
    <row r="7" spans="1:230" x14ac:dyDescent="0.35">
      <c r="A7" t="s">
        <v>348</v>
      </c>
      <c r="B7" t="s">
        <v>349</v>
      </c>
      <c r="C7" s="3">
        <v>21115</v>
      </c>
      <c r="D7">
        <v>65</v>
      </c>
      <c r="E7">
        <v>81</v>
      </c>
      <c r="F7">
        <v>157</v>
      </c>
      <c r="G7">
        <f t="shared" si="0"/>
        <v>1.57</v>
      </c>
      <c r="H7">
        <f t="shared" si="1"/>
        <v>32.86137368655929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K7" s="3">
        <v>45178</v>
      </c>
      <c r="AL7" t="s">
        <v>39</v>
      </c>
      <c r="AN7">
        <v>0</v>
      </c>
      <c r="AO7">
        <v>0</v>
      </c>
      <c r="AP7">
        <v>1</v>
      </c>
      <c r="AQ7">
        <v>0</v>
      </c>
      <c r="AR7">
        <v>0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12.9</v>
      </c>
      <c r="BB7">
        <v>7.2</v>
      </c>
      <c r="BC7">
        <v>218</v>
      </c>
      <c r="BD7">
        <v>45</v>
      </c>
      <c r="BE7">
        <v>5</v>
      </c>
      <c r="BF7">
        <v>62</v>
      </c>
      <c r="BG7">
        <v>139</v>
      </c>
      <c r="BH7">
        <v>111</v>
      </c>
      <c r="BI7">
        <v>4</v>
      </c>
      <c r="BJ7">
        <v>4</v>
      </c>
      <c r="BL7">
        <v>23.7</v>
      </c>
      <c r="BM7">
        <v>7.37</v>
      </c>
      <c r="BN7">
        <v>84</v>
      </c>
      <c r="BO7">
        <v>44</v>
      </c>
      <c r="BP7">
        <v>25</v>
      </c>
      <c r="BQ7">
        <v>0.7</v>
      </c>
      <c r="BR7">
        <v>76</v>
      </c>
      <c r="BT7">
        <v>16</v>
      </c>
      <c r="BU7">
        <v>16</v>
      </c>
      <c r="BV7">
        <v>270</v>
      </c>
      <c r="BW7">
        <v>18</v>
      </c>
      <c r="BX7" s="3">
        <v>45178</v>
      </c>
      <c r="BY7">
        <v>7</v>
      </c>
      <c r="BZ7">
        <v>81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12.9</v>
      </c>
      <c r="CI7">
        <v>7.2</v>
      </c>
      <c r="CJ7">
        <v>218</v>
      </c>
      <c r="CK7">
        <v>45</v>
      </c>
      <c r="CL7">
        <v>5</v>
      </c>
      <c r="CM7">
        <v>62</v>
      </c>
      <c r="CN7">
        <v>139</v>
      </c>
      <c r="CO7">
        <v>111</v>
      </c>
      <c r="CP7">
        <v>4</v>
      </c>
      <c r="CQ7">
        <v>4</v>
      </c>
      <c r="CS7">
        <v>23.7</v>
      </c>
      <c r="CT7">
        <v>7.37</v>
      </c>
      <c r="CU7">
        <v>84</v>
      </c>
      <c r="CV7">
        <v>44</v>
      </c>
      <c r="CW7">
        <v>25</v>
      </c>
      <c r="CX7">
        <v>0.7</v>
      </c>
      <c r="CY7">
        <v>76</v>
      </c>
      <c r="DA7">
        <v>16</v>
      </c>
      <c r="DB7">
        <v>16</v>
      </c>
      <c r="DC7">
        <v>270</v>
      </c>
      <c r="DD7">
        <v>18</v>
      </c>
      <c r="DE7">
        <v>2</v>
      </c>
      <c r="DF7">
        <v>1</v>
      </c>
      <c r="DG7">
        <v>100</v>
      </c>
      <c r="DH7">
        <v>1000</v>
      </c>
      <c r="DI7">
        <v>1</v>
      </c>
      <c r="DJ7">
        <v>100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128</v>
      </c>
      <c r="DT7">
        <v>54</v>
      </c>
      <c r="DU7">
        <v>78</v>
      </c>
      <c r="DV7">
        <v>86</v>
      </c>
      <c r="DW7">
        <v>36.5</v>
      </c>
      <c r="DX7">
        <v>1</v>
      </c>
      <c r="DY7">
        <v>0</v>
      </c>
      <c r="DZ7">
        <v>0</v>
      </c>
      <c r="EA7">
        <v>0</v>
      </c>
      <c r="EB7">
        <v>0</v>
      </c>
      <c r="EC7">
        <v>2</v>
      </c>
      <c r="ED7">
        <v>5.6</v>
      </c>
      <c r="EE7">
        <v>50</v>
      </c>
      <c r="EF7" t="s">
        <v>144</v>
      </c>
      <c r="EG7" t="s">
        <v>144</v>
      </c>
      <c r="EH7">
        <v>0</v>
      </c>
      <c r="EI7">
        <v>0</v>
      </c>
      <c r="EJ7">
        <v>0.6</v>
      </c>
      <c r="EK7">
        <v>11.1</v>
      </c>
      <c r="EL7">
        <v>13</v>
      </c>
      <c r="EM7" t="s">
        <v>144</v>
      </c>
      <c r="EN7" t="s">
        <v>144</v>
      </c>
      <c r="EO7">
        <v>2</v>
      </c>
      <c r="EP7">
        <v>4.0999999999999996</v>
      </c>
      <c r="EQ7">
        <v>14.84</v>
      </c>
      <c r="ER7">
        <v>2.8</v>
      </c>
      <c r="ES7">
        <v>8.5</v>
      </c>
      <c r="ET7">
        <v>21.6</v>
      </c>
      <c r="EU7">
        <v>128</v>
      </c>
      <c r="EV7">
        <v>57</v>
      </c>
      <c r="EW7">
        <v>81</v>
      </c>
      <c r="EX7">
        <v>88</v>
      </c>
      <c r="EY7">
        <v>6.4</v>
      </c>
      <c r="FA7">
        <v>2</v>
      </c>
      <c r="FB7">
        <v>3.2</v>
      </c>
      <c r="FC7">
        <v>30.23</v>
      </c>
      <c r="FG7">
        <v>125</v>
      </c>
      <c r="FH7">
        <v>61</v>
      </c>
      <c r="FI7">
        <v>82</v>
      </c>
      <c r="FJ7">
        <v>89</v>
      </c>
      <c r="FK7">
        <v>5.0999999999999996</v>
      </c>
      <c r="FL7">
        <v>15</v>
      </c>
      <c r="FM7">
        <v>2</v>
      </c>
      <c r="FN7">
        <v>4.05</v>
      </c>
      <c r="FO7">
        <v>14.14</v>
      </c>
      <c r="FS7">
        <v>113</v>
      </c>
      <c r="FT7">
        <v>83</v>
      </c>
      <c r="FU7">
        <v>94</v>
      </c>
      <c r="FV7">
        <v>90</v>
      </c>
      <c r="FW7">
        <v>6.4</v>
      </c>
      <c r="FX7">
        <v>50</v>
      </c>
      <c r="FY7">
        <v>0.7</v>
      </c>
      <c r="GA7">
        <v>11</v>
      </c>
      <c r="GB7">
        <v>50</v>
      </c>
      <c r="GD7">
        <v>1</v>
      </c>
      <c r="GE7">
        <v>2.4</v>
      </c>
      <c r="GF7">
        <v>37.67</v>
      </c>
      <c r="GJ7">
        <v>1</v>
      </c>
      <c r="GV7">
        <v>130</v>
      </c>
      <c r="GW7">
        <v>61</v>
      </c>
      <c r="GX7">
        <v>85</v>
      </c>
      <c r="GY7">
        <v>87</v>
      </c>
      <c r="GZ7">
        <v>6</v>
      </c>
      <c r="HB7">
        <v>1</v>
      </c>
      <c r="HC7">
        <v>2.7</v>
      </c>
      <c r="HD7">
        <v>28.41</v>
      </c>
      <c r="HK7">
        <f t="shared" si="2"/>
        <v>15.39</v>
      </c>
      <c r="HL7" s="16">
        <f t="shared" si="3"/>
        <v>1.0370619946091644</v>
      </c>
      <c r="HM7">
        <f t="shared" si="4"/>
        <v>23.53</v>
      </c>
      <c r="HN7" s="16">
        <f t="shared" si="5"/>
        <v>1.6640735502121642</v>
      </c>
      <c r="HO7" s="26">
        <f t="shared" si="6"/>
        <v>8.14</v>
      </c>
      <c r="HP7">
        <f t="shared" si="7"/>
        <v>14.27</v>
      </c>
      <c r="HQ7" s="16">
        <f>HP7/FO7</f>
        <v>1.0091937765205092</v>
      </c>
      <c r="HR7">
        <f>HD7-GF7</f>
        <v>-9.2600000000000016</v>
      </c>
      <c r="HS7">
        <f>EY7-ED7</f>
        <v>0.80000000000000071</v>
      </c>
      <c r="HT7" s="28">
        <f>(HS7/ED7)*100</f>
        <v>14.285714285714299</v>
      </c>
      <c r="HU7">
        <f>FW7-FK7</f>
        <v>1.3000000000000007</v>
      </c>
      <c r="HV7" s="29">
        <f>(HU7/FK7)*100</f>
        <v>25.490196078431389</v>
      </c>
    </row>
    <row r="8" spans="1:230" x14ac:dyDescent="0.35">
      <c r="A8" t="s">
        <v>336</v>
      </c>
      <c r="B8" t="s">
        <v>337</v>
      </c>
      <c r="C8" s="3">
        <v>38384</v>
      </c>
      <c r="D8">
        <v>18</v>
      </c>
      <c r="E8">
        <v>77</v>
      </c>
      <c r="F8">
        <v>170</v>
      </c>
      <c r="G8">
        <f t="shared" si="0"/>
        <v>1.7</v>
      </c>
      <c r="H8">
        <f t="shared" si="1"/>
        <v>26.643598615916957</v>
      </c>
      <c r="I8">
        <v>1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144</v>
      </c>
      <c r="AK8" s="3">
        <v>45172</v>
      </c>
      <c r="AL8" t="s">
        <v>338</v>
      </c>
      <c r="AN8">
        <v>0</v>
      </c>
      <c r="AO8">
        <v>0</v>
      </c>
      <c r="AP8">
        <v>0</v>
      </c>
      <c r="AQ8">
        <v>1</v>
      </c>
      <c r="AR8">
        <v>0</v>
      </c>
      <c r="AT8">
        <v>3</v>
      </c>
      <c r="AU8">
        <v>1</v>
      </c>
      <c r="AV8">
        <v>0</v>
      </c>
      <c r="AW8">
        <v>1</v>
      </c>
      <c r="AX8">
        <v>1</v>
      </c>
      <c r="AY8">
        <v>0</v>
      </c>
      <c r="AZ8">
        <v>0</v>
      </c>
      <c r="BA8">
        <v>24.4</v>
      </c>
      <c r="BB8">
        <v>13.1</v>
      </c>
      <c r="BC8">
        <v>204</v>
      </c>
      <c r="BD8">
        <v>69</v>
      </c>
      <c r="BE8">
        <v>8.6</v>
      </c>
      <c r="BF8">
        <v>113</v>
      </c>
      <c r="BG8">
        <v>136</v>
      </c>
      <c r="BH8">
        <v>103</v>
      </c>
      <c r="BI8">
        <v>7</v>
      </c>
      <c r="BJ8">
        <v>54</v>
      </c>
      <c r="BK8">
        <v>23.7</v>
      </c>
      <c r="BL8" t="s">
        <v>144</v>
      </c>
      <c r="BM8">
        <v>6.9</v>
      </c>
      <c r="BN8">
        <v>131</v>
      </c>
      <c r="BO8">
        <v>14</v>
      </c>
      <c r="BP8">
        <v>3</v>
      </c>
      <c r="BQ8">
        <v>4.5</v>
      </c>
      <c r="BR8">
        <v>65</v>
      </c>
      <c r="BS8">
        <v>240</v>
      </c>
      <c r="BT8">
        <v>20</v>
      </c>
      <c r="BU8">
        <v>17</v>
      </c>
      <c r="BV8">
        <v>850</v>
      </c>
      <c r="BW8">
        <v>74</v>
      </c>
      <c r="BX8" s="3">
        <v>45173</v>
      </c>
      <c r="BY8">
        <v>17</v>
      </c>
      <c r="BZ8">
        <v>77</v>
      </c>
      <c r="CA8">
        <v>3</v>
      </c>
      <c r="CB8">
        <v>1</v>
      </c>
      <c r="CC8">
        <v>0</v>
      </c>
      <c r="CD8">
        <v>1</v>
      </c>
      <c r="CE8">
        <v>1</v>
      </c>
      <c r="CF8">
        <v>0</v>
      </c>
      <c r="CG8">
        <v>0</v>
      </c>
      <c r="CH8">
        <v>24.4</v>
      </c>
      <c r="CI8">
        <v>13.1</v>
      </c>
      <c r="CJ8">
        <v>204</v>
      </c>
      <c r="CK8">
        <v>69</v>
      </c>
      <c r="CL8">
        <v>8.6</v>
      </c>
      <c r="CM8">
        <v>113</v>
      </c>
      <c r="CN8">
        <v>136</v>
      </c>
      <c r="CO8">
        <v>103</v>
      </c>
      <c r="CP8">
        <v>7</v>
      </c>
      <c r="CQ8">
        <v>54</v>
      </c>
      <c r="CR8">
        <v>23.7</v>
      </c>
      <c r="CS8" t="s">
        <v>144</v>
      </c>
      <c r="CT8">
        <v>6.9</v>
      </c>
      <c r="CU8">
        <v>131</v>
      </c>
      <c r="CV8">
        <v>14</v>
      </c>
      <c r="CW8">
        <v>3</v>
      </c>
      <c r="CX8">
        <v>4.5</v>
      </c>
      <c r="CY8">
        <v>65</v>
      </c>
      <c r="CZ8">
        <v>240</v>
      </c>
      <c r="DA8">
        <v>20</v>
      </c>
      <c r="DB8">
        <v>17</v>
      </c>
      <c r="DC8">
        <v>850</v>
      </c>
      <c r="DD8">
        <v>74</v>
      </c>
      <c r="DE8" t="s">
        <v>340</v>
      </c>
      <c r="DF8">
        <v>1</v>
      </c>
      <c r="DG8">
        <v>500</v>
      </c>
      <c r="DH8">
        <v>2000</v>
      </c>
      <c r="DI8">
        <v>1</v>
      </c>
      <c r="DJ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135</v>
      </c>
      <c r="DT8">
        <v>87</v>
      </c>
      <c r="DU8">
        <v>100</v>
      </c>
      <c r="DV8">
        <v>132</v>
      </c>
      <c r="DW8">
        <v>38.5</v>
      </c>
      <c r="DX8">
        <v>1</v>
      </c>
      <c r="DY8">
        <v>0</v>
      </c>
      <c r="DZ8">
        <v>0</v>
      </c>
      <c r="EA8">
        <v>0</v>
      </c>
      <c r="EB8">
        <v>21</v>
      </c>
      <c r="EC8">
        <v>0</v>
      </c>
      <c r="ED8" t="s">
        <v>144</v>
      </c>
      <c r="EE8" t="s">
        <v>144</v>
      </c>
      <c r="EF8" t="s">
        <v>144</v>
      </c>
      <c r="EG8" t="s">
        <v>144</v>
      </c>
      <c r="EH8" t="s">
        <v>144</v>
      </c>
      <c r="EI8" t="s">
        <v>144</v>
      </c>
      <c r="EJ8" t="s">
        <v>144</v>
      </c>
      <c r="EK8" t="s">
        <v>144</v>
      </c>
      <c r="EL8" t="s">
        <v>144</v>
      </c>
      <c r="EM8" t="s">
        <v>144</v>
      </c>
      <c r="EN8" t="s">
        <v>144</v>
      </c>
      <c r="EO8" t="s">
        <v>144</v>
      </c>
      <c r="EP8">
        <v>4.5</v>
      </c>
      <c r="EQ8">
        <v>19.260000000000002</v>
      </c>
      <c r="ER8">
        <v>2.5</v>
      </c>
      <c r="ES8">
        <v>13</v>
      </c>
      <c r="ET8">
        <v>25</v>
      </c>
      <c r="EU8">
        <v>139</v>
      </c>
      <c r="EV8">
        <v>85</v>
      </c>
      <c r="EW8">
        <v>99</v>
      </c>
      <c r="EX8">
        <v>131</v>
      </c>
      <c r="FB8">
        <v>2.8</v>
      </c>
      <c r="FC8">
        <v>29.73</v>
      </c>
      <c r="FG8">
        <v>135</v>
      </c>
      <c r="FH8">
        <v>87</v>
      </c>
      <c r="FI8">
        <v>100</v>
      </c>
      <c r="FJ8">
        <v>131</v>
      </c>
      <c r="FN8">
        <v>4.4000000000000004</v>
      </c>
      <c r="FO8">
        <v>20.76</v>
      </c>
      <c r="FS8">
        <v>129</v>
      </c>
      <c r="FT8">
        <v>79</v>
      </c>
      <c r="FU8">
        <v>93</v>
      </c>
      <c r="FV8">
        <v>127</v>
      </c>
      <c r="GE8">
        <v>3.7</v>
      </c>
      <c r="GF8">
        <v>54.81</v>
      </c>
      <c r="GV8">
        <v>129</v>
      </c>
      <c r="GW8">
        <v>79</v>
      </c>
      <c r="GX8">
        <v>93</v>
      </c>
      <c r="GY8">
        <v>124</v>
      </c>
      <c r="HC8">
        <v>3.9</v>
      </c>
      <c r="HD8">
        <v>32.44</v>
      </c>
      <c r="HK8">
        <f t="shared" si="2"/>
        <v>10.469999999999999</v>
      </c>
      <c r="HL8" s="16">
        <f t="shared" si="3"/>
        <v>0.54361370716510893</v>
      </c>
      <c r="HM8">
        <f t="shared" si="4"/>
        <v>34.049999999999997</v>
      </c>
      <c r="HN8" s="16">
        <f t="shared" si="5"/>
        <v>1.6401734104046239</v>
      </c>
      <c r="HO8" s="26">
        <f t="shared" si="6"/>
        <v>23.58</v>
      </c>
      <c r="HP8">
        <f t="shared" si="7"/>
        <v>11.679999999999996</v>
      </c>
      <c r="HQ8" s="16">
        <f>HP8/FO8</f>
        <v>0.56262042389209999</v>
      </c>
      <c r="HR8">
        <f>HD8-GF8</f>
        <v>-22.370000000000005</v>
      </c>
      <c r="HT8" s="28"/>
      <c r="HV8" s="28"/>
    </row>
    <row r="9" spans="1:230" x14ac:dyDescent="0.35">
      <c r="A9" t="s">
        <v>368</v>
      </c>
      <c r="B9" t="s">
        <v>369</v>
      </c>
      <c r="C9" s="3">
        <v>23769</v>
      </c>
      <c r="D9">
        <v>52</v>
      </c>
      <c r="E9">
        <v>62.5</v>
      </c>
      <c r="F9">
        <v>167</v>
      </c>
      <c r="G9">
        <f t="shared" si="0"/>
        <v>1.67</v>
      </c>
      <c r="H9">
        <f t="shared" si="1"/>
        <v>22.410269281795692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60</v>
      </c>
      <c r="AG9">
        <v>0</v>
      </c>
      <c r="AH9">
        <v>0</v>
      </c>
      <c r="AI9">
        <v>1</v>
      </c>
      <c r="AJ9">
        <v>0</v>
      </c>
      <c r="AK9" s="3">
        <v>45214</v>
      </c>
      <c r="AL9" t="s">
        <v>350</v>
      </c>
      <c r="AN9">
        <v>1</v>
      </c>
      <c r="AO9">
        <v>0</v>
      </c>
      <c r="AP9">
        <v>0</v>
      </c>
      <c r="AQ9">
        <v>0</v>
      </c>
      <c r="AR9">
        <v>0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12.57</v>
      </c>
      <c r="BB9">
        <v>15.8</v>
      </c>
      <c r="BC9">
        <v>193</v>
      </c>
      <c r="BD9">
        <v>64</v>
      </c>
      <c r="BE9">
        <v>5</v>
      </c>
      <c r="BF9">
        <v>64</v>
      </c>
      <c r="BG9">
        <v>121</v>
      </c>
      <c r="BH9">
        <v>91</v>
      </c>
      <c r="BI9">
        <v>13</v>
      </c>
      <c r="BK9">
        <v>6.9</v>
      </c>
      <c r="BM9">
        <v>7.53</v>
      </c>
      <c r="BN9">
        <v>130</v>
      </c>
      <c r="BO9">
        <v>25</v>
      </c>
      <c r="BP9">
        <v>21</v>
      </c>
      <c r="BQ9">
        <v>1</v>
      </c>
      <c r="BT9">
        <v>69</v>
      </c>
      <c r="BU9">
        <v>59</v>
      </c>
      <c r="BV9">
        <v>736</v>
      </c>
      <c r="BW9">
        <v>36</v>
      </c>
      <c r="BX9" s="3">
        <v>45215</v>
      </c>
      <c r="BY9">
        <v>17</v>
      </c>
      <c r="BZ9">
        <v>62.5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8.4</v>
      </c>
      <c r="CI9">
        <v>13.8</v>
      </c>
      <c r="CJ9">
        <v>134</v>
      </c>
      <c r="CK9">
        <v>64</v>
      </c>
      <c r="CL9">
        <v>5</v>
      </c>
      <c r="CM9">
        <v>64</v>
      </c>
      <c r="CN9">
        <v>121</v>
      </c>
      <c r="CO9">
        <v>91</v>
      </c>
      <c r="DA9">
        <v>59</v>
      </c>
      <c r="DB9">
        <v>69</v>
      </c>
      <c r="DC9">
        <v>736</v>
      </c>
      <c r="DD9">
        <v>36</v>
      </c>
      <c r="DE9">
        <v>2</v>
      </c>
      <c r="DF9">
        <v>1</v>
      </c>
      <c r="DG9">
        <v>500</v>
      </c>
      <c r="DI9">
        <v>0</v>
      </c>
      <c r="DJ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120</v>
      </c>
      <c r="DT9">
        <v>82</v>
      </c>
      <c r="DU9">
        <v>92</v>
      </c>
      <c r="DV9">
        <v>129</v>
      </c>
      <c r="DW9">
        <v>36.5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O9">
        <v>0</v>
      </c>
      <c r="EP9">
        <v>1.3</v>
      </c>
      <c r="EQ9">
        <v>157.56</v>
      </c>
      <c r="EU9">
        <v>123</v>
      </c>
      <c r="EV9">
        <v>73</v>
      </c>
      <c r="EW9">
        <v>89</v>
      </c>
      <c r="EX9">
        <v>131</v>
      </c>
      <c r="FB9">
        <v>1.1000000000000001</v>
      </c>
      <c r="FC9">
        <v>263.67</v>
      </c>
      <c r="FG9">
        <v>135</v>
      </c>
      <c r="FH9">
        <v>74</v>
      </c>
      <c r="FI9">
        <v>88</v>
      </c>
      <c r="FJ9">
        <v>133</v>
      </c>
      <c r="FN9">
        <v>1.2</v>
      </c>
      <c r="FO9">
        <v>172.38</v>
      </c>
      <c r="FS9">
        <v>98</v>
      </c>
      <c r="FT9">
        <v>58</v>
      </c>
      <c r="FU9">
        <v>70</v>
      </c>
      <c r="FV9">
        <v>124</v>
      </c>
      <c r="GD9">
        <v>0</v>
      </c>
      <c r="GE9">
        <v>1.05</v>
      </c>
      <c r="GF9">
        <v>212.18</v>
      </c>
      <c r="GV9">
        <v>101</v>
      </c>
      <c r="GW9">
        <v>59</v>
      </c>
      <c r="GX9">
        <v>74</v>
      </c>
      <c r="GY9">
        <v>128</v>
      </c>
      <c r="HC9">
        <v>0.9</v>
      </c>
      <c r="HD9">
        <v>185.7</v>
      </c>
      <c r="HK9">
        <f t="shared" si="2"/>
        <v>106.11000000000001</v>
      </c>
      <c r="HL9" s="16">
        <f t="shared" si="3"/>
        <v>0.67345773038842349</v>
      </c>
      <c r="HM9">
        <f t="shared" si="4"/>
        <v>39.800000000000011</v>
      </c>
      <c r="HN9" s="16">
        <f t="shared" si="5"/>
        <v>0.23088525350968797</v>
      </c>
      <c r="HO9" s="26">
        <f t="shared" si="6"/>
        <v>-66.31</v>
      </c>
      <c r="HP9">
        <f t="shared" si="7"/>
        <v>13.319999999999993</v>
      </c>
      <c r="HT9" s="28"/>
      <c r="HV9" s="28"/>
    </row>
    <row r="10" spans="1:230" x14ac:dyDescent="0.35">
      <c r="A10" t="s">
        <v>357</v>
      </c>
      <c r="B10" t="s">
        <v>358</v>
      </c>
      <c r="C10" s="3">
        <v>16733</v>
      </c>
      <c r="D10">
        <v>77</v>
      </c>
      <c r="E10">
        <v>55</v>
      </c>
      <c r="F10">
        <v>169</v>
      </c>
      <c r="G10">
        <f t="shared" si="0"/>
        <v>1.69</v>
      </c>
      <c r="H10">
        <f t="shared" si="1"/>
        <v>19.257028815517668</v>
      </c>
      <c r="I10">
        <v>0</v>
      </c>
      <c r="J10">
        <v>1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>
        <v>1</v>
      </c>
      <c r="AD10">
        <v>1</v>
      </c>
      <c r="AE10">
        <v>0</v>
      </c>
      <c r="AK10" s="3">
        <v>45181</v>
      </c>
      <c r="AL10" t="s">
        <v>359</v>
      </c>
      <c r="AN10">
        <v>1</v>
      </c>
      <c r="AO10">
        <v>0</v>
      </c>
      <c r="AP10">
        <v>0</v>
      </c>
      <c r="AQ10">
        <v>0</v>
      </c>
      <c r="AR10">
        <v>0</v>
      </c>
      <c r="AT10">
        <v>8</v>
      </c>
      <c r="AU10">
        <v>4</v>
      </c>
      <c r="AV10">
        <v>0</v>
      </c>
      <c r="AW10">
        <v>2</v>
      </c>
      <c r="AX10">
        <v>2</v>
      </c>
      <c r="AY10">
        <v>0</v>
      </c>
      <c r="AZ10">
        <v>0</v>
      </c>
      <c r="BA10">
        <v>7.6</v>
      </c>
      <c r="BB10">
        <v>11.1</v>
      </c>
      <c r="BC10">
        <v>329</v>
      </c>
      <c r="BD10">
        <v>76</v>
      </c>
      <c r="BE10">
        <v>12</v>
      </c>
      <c r="BF10">
        <v>267</v>
      </c>
      <c r="BG10">
        <v>132</v>
      </c>
      <c r="BH10">
        <v>97</v>
      </c>
      <c r="BI10">
        <v>11</v>
      </c>
      <c r="BJ10">
        <v>288</v>
      </c>
      <c r="BM10">
        <v>7.45</v>
      </c>
      <c r="BN10">
        <v>84</v>
      </c>
      <c r="BO10">
        <v>25</v>
      </c>
      <c r="BP10">
        <v>17</v>
      </c>
      <c r="BQ10">
        <v>5.0999999999999996</v>
      </c>
      <c r="BT10">
        <v>26</v>
      </c>
      <c r="BU10">
        <v>16</v>
      </c>
      <c r="BX10" s="3">
        <v>45181</v>
      </c>
      <c r="BY10">
        <v>1</v>
      </c>
      <c r="BZ10">
        <v>77</v>
      </c>
      <c r="CA10">
        <v>8</v>
      </c>
      <c r="CB10">
        <v>4</v>
      </c>
      <c r="CC10">
        <v>0</v>
      </c>
      <c r="CD10">
        <v>2</v>
      </c>
      <c r="CE10">
        <v>2</v>
      </c>
      <c r="CF10">
        <v>0</v>
      </c>
      <c r="CG10">
        <v>0</v>
      </c>
      <c r="CH10">
        <v>7.6</v>
      </c>
      <c r="CI10">
        <v>11.1</v>
      </c>
      <c r="CJ10">
        <v>329</v>
      </c>
      <c r="CK10">
        <v>76</v>
      </c>
      <c r="CL10">
        <v>12</v>
      </c>
      <c r="CM10">
        <v>267</v>
      </c>
      <c r="CN10">
        <v>132</v>
      </c>
      <c r="CO10">
        <v>97</v>
      </c>
      <c r="CP10">
        <v>11</v>
      </c>
      <c r="CQ10">
        <v>288</v>
      </c>
      <c r="CT10">
        <v>7.45</v>
      </c>
      <c r="CU10">
        <v>84</v>
      </c>
      <c r="CV10">
        <v>25</v>
      </c>
      <c r="CW10">
        <v>17</v>
      </c>
      <c r="CX10">
        <v>5.0999999999999996</v>
      </c>
      <c r="DA10">
        <v>26</v>
      </c>
      <c r="DB10">
        <v>16</v>
      </c>
      <c r="DE10">
        <v>3</v>
      </c>
      <c r="DF10">
        <v>1</v>
      </c>
      <c r="DG10">
        <v>500</v>
      </c>
      <c r="DI10">
        <v>0</v>
      </c>
      <c r="DJ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90</v>
      </c>
      <c r="DT10">
        <v>61</v>
      </c>
      <c r="DU10">
        <v>70</v>
      </c>
      <c r="DV10">
        <v>112</v>
      </c>
      <c r="DW10">
        <v>39.4</v>
      </c>
      <c r="DX10">
        <v>1</v>
      </c>
      <c r="DY10">
        <v>0</v>
      </c>
      <c r="DZ10">
        <v>0</v>
      </c>
      <c r="EA10">
        <v>0</v>
      </c>
      <c r="EC10">
        <v>9</v>
      </c>
      <c r="ED10">
        <v>2.5</v>
      </c>
      <c r="EE10">
        <v>30</v>
      </c>
      <c r="EF10">
        <v>5</v>
      </c>
      <c r="EG10">
        <v>100</v>
      </c>
      <c r="EH10">
        <v>0</v>
      </c>
      <c r="EI10">
        <v>0</v>
      </c>
      <c r="EP10">
        <v>5.5</v>
      </c>
      <c r="EQ10">
        <v>13.9</v>
      </c>
      <c r="ER10">
        <v>3.49</v>
      </c>
      <c r="ES10">
        <v>9</v>
      </c>
      <c r="ET10">
        <v>42</v>
      </c>
      <c r="EU10">
        <v>89</v>
      </c>
      <c r="EV10">
        <v>61</v>
      </c>
      <c r="EW10">
        <v>69</v>
      </c>
      <c r="EX10">
        <v>107</v>
      </c>
      <c r="FB10">
        <v>2.66</v>
      </c>
      <c r="FC10">
        <v>52.39</v>
      </c>
      <c r="FG10">
        <v>95</v>
      </c>
      <c r="FH10">
        <v>64</v>
      </c>
      <c r="FI10">
        <v>72</v>
      </c>
      <c r="FJ10">
        <v>106</v>
      </c>
      <c r="FN10">
        <v>5.0999999999999996</v>
      </c>
      <c r="FO10">
        <v>20.350000000000001</v>
      </c>
      <c r="FS10">
        <v>102</v>
      </c>
      <c r="FT10">
        <v>60</v>
      </c>
      <c r="FU10">
        <v>73</v>
      </c>
      <c r="FV10">
        <v>105</v>
      </c>
      <c r="GE10">
        <v>3.6</v>
      </c>
      <c r="GF10">
        <v>60.24</v>
      </c>
      <c r="GV10">
        <v>102</v>
      </c>
      <c r="GW10">
        <v>66</v>
      </c>
      <c r="GX10">
        <v>73</v>
      </c>
      <c r="GY10">
        <v>107</v>
      </c>
      <c r="HC10">
        <v>3.6</v>
      </c>
      <c r="HD10">
        <v>23.8</v>
      </c>
      <c r="HK10">
        <f t="shared" si="2"/>
        <v>38.49</v>
      </c>
      <c r="HL10" s="16">
        <f t="shared" si="3"/>
        <v>2.7690647482014388</v>
      </c>
      <c r="HM10">
        <f t="shared" si="4"/>
        <v>39.89</v>
      </c>
      <c r="HN10" s="16">
        <f t="shared" si="5"/>
        <v>1.9601965601965601</v>
      </c>
      <c r="HO10" s="26">
        <f t="shared" si="6"/>
        <v>1.3999999999999986</v>
      </c>
      <c r="HP10">
        <f t="shared" si="7"/>
        <v>3.4499999999999993</v>
      </c>
      <c r="HT10" s="28"/>
      <c r="HV10" s="28"/>
    </row>
    <row r="11" spans="1:230" x14ac:dyDescent="0.35">
      <c r="A11" t="s">
        <v>287</v>
      </c>
      <c r="B11" t="s">
        <v>288</v>
      </c>
      <c r="C11" s="3">
        <v>24852</v>
      </c>
      <c r="D11">
        <v>55</v>
      </c>
      <c r="E11">
        <v>37</v>
      </c>
      <c r="F11">
        <v>170</v>
      </c>
      <c r="G11">
        <f t="shared" si="0"/>
        <v>1.7</v>
      </c>
      <c r="H11">
        <f t="shared" si="1"/>
        <v>12.802768166089967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144</v>
      </c>
      <c r="AG11">
        <v>0</v>
      </c>
      <c r="AH11">
        <v>0</v>
      </c>
      <c r="AI11">
        <v>0</v>
      </c>
      <c r="AJ11">
        <v>0</v>
      </c>
      <c r="AK11" s="3">
        <v>45062</v>
      </c>
      <c r="AL11" t="s">
        <v>289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20</v>
      </c>
      <c r="AT11">
        <v>2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X11" s="3">
        <v>45063</v>
      </c>
      <c r="BY11">
        <v>12</v>
      </c>
      <c r="BZ11">
        <v>37</v>
      </c>
      <c r="CA11">
        <v>2</v>
      </c>
      <c r="CB11">
        <v>1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15.3</v>
      </c>
      <c r="CI11">
        <v>106</v>
      </c>
      <c r="CJ11">
        <v>259</v>
      </c>
      <c r="CL11">
        <v>4.5</v>
      </c>
      <c r="CM11">
        <v>41</v>
      </c>
      <c r="CN11">
        <v>135</v>
      </c>
      <c r="CO11">
        <v>103</v>
      </c>
      <c r="CP11">
        <v>7</v>
      </c>
      <c r="CQ11">
        <v>194</v>
      </c>
      <c r="CR11">
        <v>76</v>
      </c>
      <c r="CS11" t="s">
        <v>144</v>
      </c>
      <c r="CT11">
        <v>7.46</v>
      </c>
      <c r="CU11">
        <v>102</v>
      </c>
      <c r="CV11">
        <v>29</v>
      </c>
      <c r="CW11">
        <v>21</v>
      </c>
      <c r="CX11">
        <v>1.8</v>
      </c>
      <c r="CY11">
        <v>55</v>
      </c>
      <c r="CZ11">
        <v>107</v>
      </c>
      <c r="DA11">
        <v>42</v>
      </c>
      <c r="DB11">
        <v>27</v>
      </c>
      <c r="DC11">
        <v>423</v>
      </c>
      <c r="DD11">
        <v>784</v>
      </c>
      <c r="DE11">
        <v>1</v>
      </c>
      <c r="DF11">
        <v>1</v>
      </c>
      <c r="DG11">
        <v>500</v>
      </c>
      <c r="DH11">
        <v>1500</v>
      </c>
      <c r="DI11">
        <v>1</v>
      </c>
      <c r="DJ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107</v>
      </c>
      <c r="DT11">
        <v>76</v>
      </c>
      <c r="DU11">
        <v>85</v>
      </c>
      <c r="DV11">
        <v>118</v>
      </c>
      <c r="DW11">
        <v>38.1</v>
      </c>
      <c r="DX11">
        <v>1</v>
      </c>
      <c r="DY11">
        <v>0</v>
      </c>
      <c r="DZ11">
        <v>0</v>
      </c>
      <c r="EA11">
        <v>0</v>
      </c>
      <c r="EB11">
        <v>21</v>
      </c>
      <c r="EC11">
        <v>0</v>
      </c>
      <c r="ED11">
        <v>4.2</v>
      </c>
      <c r="EE11">
        <v>50</v>
      </c>
      <c r="EF11">
        <v>13</v>
      </c>
      <c r="EG11">
        <v>100</v>
      </c>
      <c r="EH11">
        <v>0</v>
      </c>
      <c r="EI11">
        <v>0</v>
      </c>
      <c r="EJ11">
        <v>0.7</v>
      </c>
      <c r="EK11">
        <v>5.9</v>
      </c>
      <c r="EL11" t="s">
        <v>144</v>
      </c>
      <c r="EM11" t="s">
        <v>144</v>
      </c>
      <c r="EN11" t="s">
        <v>144</v>
      </c>
      <c r="EO11">
        <v>1</v>
      </c>
      <c r="EP11">
        <v>3.59</v>
      </c>
      <c r="EQ11">
        <v>5.95</v>
      </c>
      <c r="ER11">
        <v>1.1599999999999999</v>
      </c>
      <c r="ES11">
        <v>0.05</v>
      </c>
      <c r="ET11">
        <v>9.98</v>
      </c>
      <c r="EU11">
        <v>116</v>
      </c>
      <c r="EV11">
        <v>74</v>
      </c>
      <c r="EW11">
        <v>87</v>
      </c>
      <c r="EX11">
        <v>120</v>
      </c>
      <c r="EY11">
        <v>4.4000000000000004</v>
      </c>
      <c r="EZ11" t="s">
        <v>144</v>
      </c>
      <c r="FA11">
        <v>1</v>
      </c>
      <c r="FB11">
        <v>2.04</v>
      </c>
      <c r="FC11">
        <v>35.57</v>
      </c>
      <c r="FG11">
        <v>105</v>
      </c>
      <c r="FH11">
        <v>69</v>
      </c>
      <c r="FI11">
        <v>80</v>
      </c>
      <c r="FJ11">
        <v>118</v>
      </c>
      <c r="FK11">
        <v>4.2</v>
      </c>
      <c r="FL11" t="s">
        <v>144</v>
      </c>
      <c r="FM11">
        <v>1</v>
      </c>
      <c r="FN11">
        <v>3.1</v>
      </c>
      <c r="FO11">
        <v>10.29</v>
      </c>
      <c r="FS11">
        <v>113</v>
      </c>
      <c r="FT11">
        <v>73</v>
      </c>
      <c r="FU11">
        <v>86</v>
      </c>
      <c r="FV11">
        <v>124</v>
      </c>
      <c r="FW11">
        <v>4.4000000000000004</v>
      </c>
      <c r="GC11" t="s">
        <v>144</v>
      </c>
      <c r="GD11">
        <v>0</v>
      </c>
      <c r="GE11">
        <v>2.9</v>
      </c>
      <c r="GF11">
        <v>67.75</v>
      </c>
      <c r="GJ11">
        <v>111</v>
      </c>
      <c r="GK11">
        <v>77</v>
      </c>
      <c r="GL11">
        <v>86</v>
      </c>
      <c r="GM11">
        <v>127</v>
      </c>
      <c r="GN11">
        <v>4.5</v>
      </c>
      <c r="GO11" t="s">
        <v>144</v>
      </c>
      <c r="GP11">
        <v>0</v>
      </c>
      <c r="GQ11">
        <v>1.65</v>
      </c>
      <c r="GR11">
        <v>43.37</v>
      </c>
      <c r="GV11">
        <v>99</v>
      </c>
      <c r="GW11">
        <v>67</v>
      </c>
      <c r="GX11">
        <v>75</v>
      </c>
      <c r="GY11">
        <v>127</v>
      </c>
      <c r="GZ11">
        <v>4.4000000000000004</v>
      </c>
      <c r="HA11" t="s">
        <v>144</v>
      </c>
      <c r="HB11">
        <v>0</v>
      </c>
      <c r="HC11">
        <v>1.7</v>
      </c>
      <c r="HD11">
        <v>96.59</v>
      </c>
      <c r="HH11">
        <v>0</v>
      </c>
      <c r="HI11">
        <v>0</v>
      </c>
      <c r="HK11">
        <f t="shared" si="2"/>
        <v>29.62</v>
      </c>
      <c r="HL11" s="16">
        <f t="shared" si="3"/>
        <v>4.9781512605042018</v>
      </c>
      <c r="HM11">
        <f t="shared" si="4"/>
        <v>57.46</v>
      </c>
      <c r="HN11" s="16">
        <f t="shared" si="5"/>
        <v>5.5840621963070944</v>
      </c>
      <c r="HO11" s="26">
        <f t="shared" si="6"/>
        <v>27.84</v>
      </c>
      <c r="HP11">
        <f t="shared" si="7"/>
        <v>86.300000000000011</v>
      </c>
      <c r="HQ11" s="16">
        <f>HP11/FO11</f>
        <v>8.3867832847424708</v>
      </c>
      <c r="HR11">
        <f>HD11-GF11</f>
        <v>28.840000000000003</v>
      </c>
      <c r="HS11">
        <f>EY11-ED11</f>
        <v>0.20000000000000018</v>
      </c>
      <c r="HT11" s="28">
        <f>(HS11/ED11)*100</f>
        <v>4.7619047619047654</v>
      </c>
      <c r="HU11">
        <f>FW11-FK11</f>
        <v>0.20000000000000018</v>
      </c>
      <c r="HV11" s="28">
        <f>(HU11/FK11)*100</f>
        <v>4.7619047619047654</v>
      </c>
    </row>
    <row r="12" spans="1:230" x14ac:dyDescent="0.35">
      <c r="A12" s="21" t="s">
        <v>279</v>
      </c>
      <c r="B12" s="21" t="s">
        <v>280</v>
      </c>
      <c r="C12" s="22">
        <v>26798</v>
      </c>
      <c r="D12" s="21">
        <v>49</v>
      </c>
      <c r="E12" s="21">
        <v>100</v>
      </c>
      <c r="F12" s="21">
        <v>180</v>
      </c>
      <c r="G12">
        <f t="shared" si="0"/>
        <v>1.8</v>
      </c>
      <c r="H12">
        <f t="shared" si="1"/>
        <v>30.864197530864196</v>
      </c>
      <c r="I12" s="21">
        <v>0</v>
      </c>
      <c r="J12" s="21">
        <v>1</v>
      </c>
      <c r="K12" s="21"/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1</v>
      </c>
      <c r="S12" s="21">
        <v>0</v>
      </c>
      <c r="T12" s="21">
        <v>0</v>
      </c>
      <c r="U12" s="21">
        <v>0</v>
      </c>
      <c r="V12" s="21">
        <v>0</v>
      </c>
      <c r="W12" s="21">
        <v>1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1</v>
      </c>
      <c r="AE12" s="21">
        <v>0</v>
      </c>
      <c r="AF12" s="21" t="s">
        <v>144</v>
      </c>
      <c r="AG12" s="21">
        <v>0</v>
      </c>
      <c r="AH12" s="21">
        <v>0</v>
      </c>
      <c r="AI12" s="21">
        <v>0</v>
      </c>
      <c r="AJ12" s="21">
        <v>0</v>
      </c>
      <c r="AK12" s="22">
        <v>45050</v>
      </c>
      <c r="AL12" s="21" t="s">
        <v>281</v>
      </c>
      <c r="AM12" s="21"/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95</v>
      </c>
      <c r="AT12" s="21">
        <v>9</v>
      </c>
      <c r="AU12" s="21">
        <v>4</v>
      </c>
      <c r="AV12" s="21">
        <v>0</v>
      </c>
      <c r="AW12" s="21">
        <v>4</v>
      </c>
      <c r="AX12" s="21">
        <v>1</v>
      </c>
      <c r="AY12" s="21">
        <v>0</v>
      </c>
      <c r="AZ12" s="21">
        <v>0</v>
      </c>
      <c r="BA12" s="21">
        <v>11.3</v>
      </c>
      <c r="BB12" s="21">
        <v>8</v>
      </c>
      <c r="BC12" s="21">
        <v>185</v>
      </c>
      <c r="BD12" s="21">
        <v>76</v>
      </c>
      <c r="BE12" s="21">
        <v>7.2</v>
      </c>
      <c r="BF12" s="21">
        <v>128</v>
      </c>
      <c r="BG12" s="21">
        <v>144</v>
      </c>
      <c r="BH12" s="21">
        <v>116</v>
      </c>
      <c r="BI12" s="21">
        <v>5</v>
      </c>
      <c r="BJ12" s="21">
        <v>0</v>
      </c>
      <c r="BK12" s="21" t="s">
        <v>144</v>
      </c>
      <c r="BL12" s="21" t="s">
        <v>144</v>
      </c>
      <c r="BM12" s="21">
        <v>7.29</v>
      </c>
      <c r="BN12" s="21">
        <v>463</v>
      </c>
      <c r="BO12" s="21">
        <v>24</v>
      </c>
      <c r="BP12" s="21">
        <v>12</v>
      </c>
      <c r="BQ12" s="21">
        <v>5.0999999999999996</v>
      </c>
      <c r="BR12" s="21">
        <v>57</v>
      </c>
      <c r="BS12" s="21">
        <v>58</v>
      </c>
      <c r="BT12" s="21">
        <v>133</v>
      </c>
      <c r="BU12" s="21">
        <v>98</v>
      </c>
      <c r="BV12" s="21">
        <v>675</v>
      </c>
      <c r="BW12" s="21">
        <v>167</v>
      </c>
      <c r="BX12" s="22">
        <v>45050</v>
      </c>
      <c r="BY12" s="21">
        <v>0</v>
      </c>
      <c r="BZ12" s="21">
        <v>100</v>
      </c>
      <c r="CA12" s="21">
        <v>9</v>
      </c>
      <c r="CB12" s="21">
        <v>4</v>
      </c>
      <c r="CC12" s="21">
        <v>0</v>
      </c>
      <c r="CD12" s="21">
        <v>4</v>
      </c>
      <c r="CE12" s="21">
        <v>1</v>
      </c>
      <c r="CF12" s="21">
        <v>0</v>
      </c>
      <c r="CG12" s="21">
        <v>0</v>
      </c>
      <c r="CH12" s="21">
        <v>11.3</v>
      </c>
      <c r="CI12" s="21">
        <v>8</v>
      </c>
      <c r="CJ12" s="21">
        <v>185</v>
      </c>
      <c r="CK12" s="21">
        <v>76</v>
      </c>
      <c r="CL12" s="21">
        <v>7.2</v>
      </c>
      <c r="CM12" s="21">
        <v>128</v>
      </c>
      <c r="CN12" s="21">
        <v>144</v>
      </c>
      <c r="CO12" s="21">
        <v>116</v>
      </c>
      <c r="CP12" s="21">
        <v>5</v>
      </c>
      <c r="CQ12" s="21">
        <v>0</v>
      </c>
      <c r="CR12" s="21" t="s">
        <v>144</v>
      </c>
      <c r="CS12" s="21" t="s">
        <v>144</v>
      </c>
      <c r="CT12" s="21">
        <v>7.29</v>
      </c>
      <c r="CU12" s="21">
        <v>463</v>
      </c>
      <c r="CV12" s="21">
        <v>24</v>
      </c>
      <c r="CW12" s="21">
        <v>12</v>
      </c>
      <c r="CX12" s="21">
        <v>5.0999999999999996</v>
      </c>
      <c r="CY12" s="21">
        <v>57</v>
      </c>
      <c r="CZ12" s="21">
        <v>58</v>
      </c>
      <c r="DA12" s="21">
        <v>133</v>
      </c>
      <c r="DB12" s="21">
        <v>98</v>
      </c>
      <c r="DC12" s="21">
        <v>675</v>
      </c>
      <c r="DD12" s="21">
        <v>167</v>
      </c>
      <c r="DE12" s="21">
        <v>1</v>
      </c>
      <c r="DF12" s="21">
        <v>1</v>
      </c>
      <c r="DG12" s="21">
        <v>500</v>
      </c>
      <c r="DH12" s="21">
        <v>1000</v>
      </c>
      <c r="DI12" s="21">
        <v>1</v>
      </c>
      <c r="DJ12" s="21">
        <v>0</v>
      </c>
      <c r="DK12" s="21">
        <v>0.65</v>
      </c>
      <c r="DL12" s="21">
        <v>1</v>
      </c>
      <c r="DM12" s="21">
        <v>0</v>
      </c>
      <c r="DN12" s="21">
        <v>0</v>
      </c>
      <c r="DO12" s="21">
        <v>200</v>
      </c>
      <c r="DP12" s="21">
        <v>15</v>
      </c>
      <c r="DQ12" s="21">
        <v>0</v>
      </c>
      <c r="DR12" s="21">
        <v>0</v>
      </c>
      <c r="DS12" s="21">
        <v>103</v>
      </c>
      <c r="DT12" s="21">
        <v>54</v>
      </c>
      <c r="DU12" s="21">
        <v>76</v>
      </c>
      <c r="DV12" s="21">
        <v>87</v>
      </c>
      <c r="DW12" s="21">
        <v>34.9</v>
      </c>
      <c r="DX12" s="21">
        <v>0</v>
      </c>
      <c r="DY12" s="21">
        <v>1</v>
      </c>
      <c r="DZ12" s="21">
        <v>0</v>
      </c>
      <c r="EA12" s="21">
        <v>5</v>
      </c>
      <c r="EB12" s="21">
        <v>25</v>
      </c>
      <c r="EC12" s="21">
        <v>60</v>
      </c>
      <c r="ED12" s="21">
        <v>6.9</v>
      </c>
      <c r="EE12" s="21">
        <v>50</v>
      </c>
      <c r="EF12" s="21">
        <v>17</v>
      </c>
      <c r="EG12" s="21">
        <v>100</v>
      </c>
      <c r="EH12" s="21">
        <v>0</v>
      </c>
      <c r="EI12" s="21">
        <v>0</v>
      </c>
      <c r="EJ12" s="21">
        <v>1.4</v>
      </c>
      <c r="EK12" s="21">
        <v>4.9000000000000004</v>
      </c>
      <c r="EL12" s="21" t="s">
        <v>144</v>
      </c>
      <c r="EM12" s="21" t="s">
        <v>144</v>
      </c>
      <c r="EN12" s="21" t="s">
        <v>144</v>
      </c>
      <c r="EO12" s="21">
        <v>0</v>
      </c>
      <c r="EP12" s="21">
        <v>1.6</v>
      </c>
      <c r="EQ12" s="21">
        <v>44.56</v>
      </c>
      <c r="ER12" s="21">
        <v>7.95</v>
      </c>
      <c r="ES12" s="21">
        <v>29.8</v>
      </c>
      <c r="ET12" s="21">
        <v>65.3</v>
      </c>
      <c r="EU12" s="21">
        <v>122</v>
      </c>
      <c r="EV12" s="21">
        <v>67</v>
      </c>
      <c r="EW12" s="21">
        <v>91</v>
      </c>
      <c r="EX12" s="21">
        <v>86</v>
      </c>
      <c r="EY12" s="21">
        <v>6.7</v>
      </c>
      <c r="EZ12" s="21" t="s">
        <v>144</v>
      </c>
      <c r="FA12" s="21">
        <v>0</v>
      </c>
      <c r="FB12" s="21">
        <v>1.42</v>
      </c>
      <c r="FC12" s="21">
        <v>54.4</v>
      </c>
      <c r="FD12" s="21"/>
      <c r="FE12" s="21"/>
      <c r="FF12" s="21"/>
      <c r="FG12" s="21">
        <v>121</v>
      </c>
      <c r="FH12" s="21">
        <v>66</v>
      </c>
      <c r="FI12" s="21">
        <v>91</v>
      </c>
      <c r="FJ12" s="21">
        <v>88</v>
      </c>
      <c r="FK12" s="21">
        <v>7</v>
      </c>
      <c r="FL12" s="21" t="s">
        <v>144</v>
      </c>
      <c r="FM12" s="21">
        <v>0</v>
      </c>
      <c r="FN12" s="21">
        <v>1.6</v>
      </c>
      <c r="FO12" s="21">
        <v>36.21</v>
      </c>
      <c r="FP12" s="21"/>
      <c r="FQ12" s="21"/>
      <c r="FR12" s="21"/>
      <c r="FS12" s="21">
        <v>136</v>
      </c>
      <c r="FT12" s="21">
        <v>71</v>
      </c>
      <c r="FU12" s="21">
        <v>99</v>
      </c>
      <c r="FV12" s="21">
        <v>88</v>
      </c>
      <c r="FW12" s="21">
        <v>7.3</v>
      </c>
      <c r="FX12" s="21">
        <v>50</v>
      </c>
      <c r="FY12" s="21">
        <v>1.2</v>
      </c>
      <c r="FZ12" s="21">
        <v>5.4</v>
      </c>
      <c r="GA12" s="21">
        <v>17</v>
      </c>
      <c r="GB12" s="21">
        <v>0</v>
      </c>
      <c r="GC12" s="21" t="s">
        <v>144</v>
      </c>
      <c r="GD12" s="21">
        <v>0</v>
      </c>
      <c r="GE12" s="21">
        <v>1.17</v>
      </c>
      <c r="GF12" s="21">
        <v>96.47</v>
      </c>
      <c r="GG12" s="21"/>
      <c r="GH12" s="21"/>
      <c r="GI12" s="21"/>
      <c r="GJ12" s="21">
        <v>136</v>
      </c>
      <c r="GK12" s="21">
        <v>71</v>
      </c>
      <c r="GL12" s="21">
        <v>99</v>
      </c>
      <c r="GM12" s="21">
        <v>89</v>
      </c>
      <c r="GN12" s="21">
        <v>7</v>
      </c>
      <c r="GO12" s="21" t="s">
        <v>144</v>
      </c>
      <c r="GP12" s="21">
        <v>0</v>
      </c>
      <c r="GQ12" s="21">
        <v>1.44</v>
      </c>
      <c r="GR12" s="21">
        <v>85.34</v>
      </c>
      <c r="GS12" s="21"/>
      <c r="GT12" s="21"/>
      <c r="GU12" s="21"/>
      <c r="GV12" s="21">
        <v>129</v>
      </c>
      <c r="GW12" s="21">
        <v>66</v>
      </c>
      <c r="GX12" s="21">
        <v>93</v>
      </c>
      <c r="GY12" s="21">
        <v>89</v>
      </c>
      <c r="GZ12" s="21">
        <v>6.9</v>
      </c>
      <c r="HA12" s="21" t="s">
        <v>144</v>
      </c>
      <c r="HB12" s="21">
        <v>0</v>
      </c>
      <c r="HC12" s="21">
        <v>1.79</v>
      </c>
      <c r="HD12" s="21">
        <v>60.2</v>
      </c>
      <c r="HE12" s="21"/>
      <c r="HF12" s="21"/>
      <c r="HG12" s="21"/>
      <c r="HH12" s="21">
        <v>1</v>
      </c>
      <c r="HI12" s="21">
        <v>1</v>
      </c>
      <c r="HJ12" s="22">
        <v>45057</v>
      </c>
      <c r="HK12" s="21">
        <f t="shared" si="2"/>
        <v>9.8399999999999963</v>
      </c>
      <c r="HL12" s="23">
        <f t="shared" si="3"/>
        <v>0.22082585278276473</v>
      </c>
      <c r="HM12" s="21">
        <f t="shared" si="4"/>
        <v>60.26</v>
      </c>
      <c r="HN12" s="23">
        <f t="shared" si="5"/>
        <v>1.664181165423916</v>
      </c>
      <c r="HO12" s="26">
        <f t="shared" si="6"/>
        <v>50.42</v>
      </c>
      <c r="HP12">
        <f t="shared" si="7"/>
        <v>23.990000000000002</v>
      </c>
      <c r="HQ12" s="23">
        <f>HP12/FO12</f>
        <v>0.66252416459541563</v>
      </c>
      <c r="HR12" s="21">
        <f>HD12-GF12</f>
        <v>-36.269999999999996</v>
      </c>
      <c r="HS12">
        <f>EY12-ED12</f>
        <v>-0.20000000000000018</v>
      </c>
      <c r="HT12" s="28">
        <f>(HS12/ED12)*100</f>
        <v>-2.8985507246376838</v>
      </c>
      <c r="HU12">
        <f>FW12-FK12</f>
        <v>0.29999999999999982</v>
      </c>
      <c r="HV12" s="28">
        <f>(HU12/FK12)*100</f>
        <v>4.2857142857142829</v>
      </c>
    </row>
    <row r="13" spans="1:230" x14ac:dyDescent="0.35">
      <c r="A13" t="s">
        <v>353</v>
      </c>
      <c r="B13" t="s">
        <v>205</v>
      </c>
      <c r="C13" s="3">
        <v>23723</v>
      </c>
      <c r="D13">
        <v>58</v>
      </c>
      <c r="E13">
        <v>67</v>
      </c>
      <c r="F13">
        <v>170</v>
      </c>
      <c r="G13">
        <f t="shared" si="0"/>
        <v>1.7</v>
      </c>
      <c r="H13">
        <f t="shared" si="1"/>
        <v>23.183391003460208</v>
      </c>
      <c r="I13">
        <v>0</v>
      </c>
      <c r="J13">
        <v>1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1</v>
      </c>
      <c r="AF13">
        <v>45</v>
      </c>
      <c r="AG13">
        <v>1</v>
      </c>
      <c r="AH13">
        <v>1</v>
      </c>
      <c r="AI13">
        <v>0</v>
      </c>
      <c r="AJ13">
        <v>0</v>
      </c>
      <c r="AK13" s="3">
        <v>45180</v>
      </c>
      <c r="AL13" t="s">
        <v>350</v>
      </c>
      <c r="AN13">
        <v>1</v>
      </c>
      <c r="AO13">
        <v>0</v>
      </c>
      <c r="AP13">
        <v>0</v>
      </c>
      <c r="AQ13">
        <v>0</v>
      </c>
      <c r="AR13">
        <v>0</v>
      </c>
      <c r="AT13">
        <v>5</v>
      </c>
      <c r="AU13">
        <v>1</v>
      </c>
      <c r="AV13">
        <v>2</v>
      </c>
      <c r="AW13">
        <v>2</v>
      </c>
      <c r="AX13">
        <v>0</v>
      </c>
      <c r="AY13">
        <v>0</v>
      </c>
      <c r="AZ13">
        <v>0</v>
      </c>
      <c r="BA13">
        <v>8.8000000000000007</v>
      </c>
      <c r="BB13">
        <v>9.6</v>
      </c>
      <c r="BC13">
        <v>168</v>
      </c>
      <c r="BD13">
        <v>62</v>
      </c>
      <c r="BE13">
        <v>8.3000000000000007</v>
      </c>
      <c r="BF13">
        <v>99</v>
      </c>
      <c r="BG13">
        <v>149</v>
      </c>
      <c r="BH13">
        <v>118</v>
      </c>
      <c r="BI13">
        <v>13</v>
      </c>
      <c r="BJ13">
        <v>250</v>
      </c>
      <c r="BL13">
        <v>12.8</v>
      </c>
      <c r="BM13">
        <v>7.38</v>
      </c>
      <c r="BN13">
        <v>88</v>
      </c>
      <c r="BO13">
        <v>31</v>
      </c>
      <c r="BP13">
        <v>19</v>
      </c>
      <c r="BQ13">
        <v>1.5</v>
      </c>
      <c r="BR13">
        <v>77</v>
      </c>
      <c r="BT13">
        <v>22</v>
      </c>
      <c r="BU13">
        <v>46</v>
      </c>
      <c r="BV13">
        <v>8</v>
      </c>
      <c r="BW13">
        <v>277</v>
      </c>
      <c r="BX13" s="3">
        <v>45180</v>
      </c>
      <c r="BY13">
        <v>1</v>
      </c>
      <c r="BZ13">
        <v>67</v>
      </c>
      <c r="CA13">
        <v>5</v>
      </c>
      <c r="CB13">
        <v>1</v>
      </c>
      <c r="CC13">
        <v>2</v>
      </c>
      <c r="CD13">
        <v>2</v>
      </c>
      <c r="CE13">
        <v>0</v>
      </c>
      <c r="CF13">
        <v>0</v>
      </c>
      <c r="CG13">
        <v>0</v>
      </c>
      <c r="CH13">
        <v>8.8000000000000007</v>
      </c>
      <c r="CI13">
        <v>9.6</v>
      </c>
      <c r="CJ13">
        <v>168</v>
      </c>
      <c r="CK13">
        <v>62</v>
      </c>
      <c r="CL13">
        <v>8.3000000000000007</v>
      </c>
      <c r="CM13">
        <v>99</v>
      </c>
      <c r="CN13">
        <v>149</v>
      </c>
      <c r="CO13">
        <v>118</v>
      </c>
      <c r="CP13">
        <v>13</v>
      </c>
      <c r="CQ13">
        <v>250</v>
      </c>
      <c r="CS13">
        <v>12.8</v>
      </c>
      <c r="CT13">
        <v>7.38</v>
      </c>
      <c r="CU13">
        <v>88</v>
      </c>
      <c r="CV13">
        <v>31</v>
      </c>
      <c r="CW13">
        <v>19</v>
      </c>
      <c r="CX13">
        <v>1.5</v>
      </c>
      <c r="CY13">
        <v>77</v>
      </c>
      <c r="DA13">
        <v>22</v>
      </c>
      <c r="DB13">
        <v>40</v>
      </c>
      <c r="DC13">
        <v>8</v>
      </c>
      <c r="DD13">
        <v>277</v>
      </c>
      <c r="DE13">
        <v>2</v>
      </c>
      <c r="DF13">
        <v>1</v>
      </c>
      <c r="DG13">
        <v>500</v>
      </c>
      <c r="DH13">
        <v>500</v>
      </c>
      <c r="DI13">
        <v>1</v>
      </c>
      <c r="DJ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86</v>
      </c>
      <c r="DT13">
        <v>66</v>
      </c>
      <c r="DU13">
        <v>75</v>
      </c>
      <c r="DV13">
        <v>141</v>
      </c>
      <c r="DW13">
        <v>36.200000000000003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15</v>
      </c>
      <c r="ED13">
        <v>6.3</v>
      </c>
      <c r="EE13">
        <v>40</v>
      </c>
      <c r="EF13">
        <v>13</v>
      </c>
      <c r="EG13">
        <v>50</v>
      </c>
      <c r="EH13">
        <v>0</v>
      </c>
      <c r="EI13">
        <v>0</v>
      </c>
      <c r="EJ13">
        <v>0.6</v>
      </c>
      <c r="EK13">
        <v>6</v>
      </c>
      <c r="EL13" t="s">
        <v>144</v>
      </c>
      <c r="EM13" t="s">
        <v>144</v>
      </c>
      <c r="EN13" t="s">
        <v>144</v>
      </c>
      <c r="EO13">
        <v>4</v>
      </c>
      <c r="EP13">
        <v>3.1</v>
      </c>
      <c r="EQ13">
        <v>43.75</v>
      </c>
      <c r="ER13">
        <v>5.8</v>
      </c>
      <c r="ES13">
        <v>31</v>
      </c>
      <c r="ET13">
        <v>60</v>
      </c>
      <c r="EU13">
        <v>94</v>
      </c>
      <c r="EV13">
        <v>64</v>
      </c>
      <c r="EW13">
        <v>74</v>
      </c>
      <c r="EX13">
        <v>136</v>
      </c>
      <c r="EY13">
        <v>7.1</v>
      </c>
      <c r="EZ13" t="s">
        <v>144</v>
      </c>
      <c r="FA13">
        <v>4</v>
      </c>
      <c r="FB13">
        <v>2.2000000000000002</v>
      </c>
      <c r="FC13">
        <v>57.66</v>
      </c>
      <c r="FG13">
        <v>97</v>
      </c>
      <c r="FH13">
        <v>75</v>
      </c>
      <c r="FI13">
        <v>81</v>
      </c>
      <c r="FJ13">
        <v>138</v>
      </c>
      <c r="FK13">
        <v>6.2</v>
      </c>
      <c r="FL13" t="s">
        <v>144</v>
      </c>
      <c r="FM13">
        <v>4</v>
      </c>
      <c r="FN13">
        <v>2.98</v>
      </c>
      <c r="FO13">
        <v>40.86</v>
      </c>
      <c r="FS13">
        <v>106</v>
      </c>
      <c r="FT13">
        <v>71</v>
      </c>
      <c r="FU13">
        <v>83</v>
      </c>
      <c r="FV13">
        <v>136</v>
      </c>
      <c r="FW13">
        <v>7.7</v>
      </c>
      <c r="FX13">
        <v>45</v>
      </c>
      <c r="FY13">
        <v>0.6</v>
      </c>
      <c r="GA13">
        <v>13</v>
      </c>
      <c r="GB13">
        <v>50</v>
      </c>
      <c r="GD13">
        <v>3</v>
      </c>
      <c r="GE13">
        <v>2.2000000000000002</v>
      </c>
      <c r="GF13">
        <v>101.25</v>
      </c>
      <c r="GJ13">
        <v>96</v>
      </c>
      <c r="GK13">
        <v>71</v>
      </c>
      <c r="GL13">
        <v>80</v>
      </c>
      <c r="GM13">
        <v>138</v>
      </c>
      <c r="GN13">
        <v>5.7</v>
      </c>
      <c r="GP13">
        <v>3</v>
      </c>
      <c r="GQ13">
        <v>2.2999999999999998</v>
      </c>
      <c r="GR13">
        <v>85.78</v>
      </c>
      <c r="HK13">
        <f t="shared" si="2"/>
        <v>13.909999999999997</v>
      </c>
      <c r="HL13" s="16">
        <f t="shared" si="3"/>
        <v>0.31794285714285708</v>
      </c>
      <c r="HM13">
        <f t="shared" si="4"/>
        <v>60.39</v>
      </c>
      <c r="HN13" s="16">
        <f t="shared" si="5"/>
        <v>1.4779735682819384</v>
      </c>
      <c r="HO13" s="26">
        <f t="shared" si="6"/>
        <v>46.480000000000004</v>
      </c>
      <c r="HS13">
        <f>EY13-ED13</f>
        <v>0.79999999999999982</v>
      </c>
      <c r="HT13" s="28">
        <f>(HS13/ED13)*100</f>
        <v>12.698412698412694</v>
      </c>
      <c r="HU13">
        <f>FW13-FK13</f>
        <v>1.5</v>
      </c>
      <c r="HV13" s="29">
        <f>(HU13/FK13)*100</f>
        <v>24.193548387096772</v>
      </c>
    </row>
    <row r="14" spans="1:230" x14ac:dyDescent="0.35">
      <c r="A14" t="s">
        <v>341</v>
      </c>
      <c r="B14" t="s">
        <v>342</v>
      </c>
      <c r="C14" s="3">
        <v>16072</v>
      </c>
      <c r="D14">
        <v>79</v>
      </c>
      <c r="E14">
        <v>63</v>
      </c>
      <c r="F14">
        <v>170</v>
      </c>
      <c r="G14">
        <f t="shared" si="0"/>
        <v>1.7</v>
      </c>
      <c r="H14">
        <f t="shared" si="1"/>
        <v>21.79930795847751</v>
      </c>
      <c r="I14">
        <v>0</v>
      </c>
      <c r="J14">
        <v>1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144</v>
      </c>
      <c r="AK14" s="3">
        <v>45177</v>
      </c>
      <c r="AL14" t="s">
        <v>343</v>
      </c>
      <c r="AN14">
        <v>1</v>
      </c>
      <c r="AO14">
        <v>1</v>
      </c>
      <c r="AP14">
        <v>0</v>
      </c>
      <c r="AQ14">
        <v>0</v>
      </c>
      <c r="AR14">
        <v>0</v>
      </c>
      <c r="AT14">
        <v>9</v>
      </c>
      <c r="AU14">
        <v>4</v>
      </c>
      <c r="AV14">
        <v>0</v>
      </c>
      <c r="AW14">
        <v>1</v>
      </c>
      <c r="AX14">
        <v>3</v>
      </c>
      <c r="AY14">
        <v>0</v>
      </c>
      <c r="AZ14">
        <v>2</v>
      </c>
      <c r="BA14">
        <v>36</v>
      </c>
      <c r="BB14">
        <v>13.7</v>
      </c>
      <c r="BC14">
        <v>55</v>
      </c>
      <c r="BD14">
        <v>55</v>
      </c>
      <c r="BE14">
        <v>18.600000000000001</v>
      </c>
      <c r="BF14">
        <v>312</v>
      </c>
      <c r="BG14">
        <v>133</v>
      </c>
      <c r="BH14">
        <v>104</v>
      </c>
      <c r="BI14">
        <v>8</v>
      </c>
      <c r="BK14">
        <v>375</v>
      </c>
      <c r="BM14">
        <v>7.36</v>
      </c>
      <c r="BN14">
        <v>114</v>
      </c>
      <c r="BO14">
        <v>21</v>
      </c>
      <c r="BP14">
        <v>12</v>
      </c>
      <c r="BQ14">
        <v>5.9</v>
      </c>
      <c r="BR14">
        <v>54</v>
      </c>
      <c r="BS14">
        <v>57</v>
      </c>
      <c r="BT14">
        <v>47</v>
      </c>
      <c r="BU14">
        <v>64</v>
      </c>
      <c r="BV14">
        <v>401</v>
      </c>
      <c r="BW14">
        <v>149</v>
      </c>
      <c r="BX14" s="3">
        <v>45177</v>
      </c>
      <c r="BY14">
        <v>1</v>
      </c>
      <c r="BZ14">
        <v>79</v>
      </c>
      <c r="CA14">
        <v>9</v>
      </c>
      <c r="CB14">
        <v>4</v>
      </c>
      <c r="CC14">
        <v>0</v>
      </c>
      <c r="CD14">
        <v>0</v>
      </c>
      <c r="CE14">
        <v>3</v>
      </c>
      <c r="CF14">
        <v>0</v>
      </c>
      <c r="CG14">
        <v>2</v>
      </c>
      <c r="CH14">
        <v>36</v>
      </c>
      <c r="CI14">
        <v>13.7</v>
      </c>
      <c r="CJ14">
        <v>55</v>
      </c>
      <c r="CK14">
        <v>55</v>
      </c>
      <c r="CL14">
        <v>18.600000000000001</v>
      </c>
      <c r="CM14">
        <v>312</v>
      </c>
      <c r="CN14">
        <v>133</v>
      </c>
      <c r="CO14">
        <v>104</v>
      </c>
      <c r="CP14">
        <v>8</v>
      </c>
      <c r="CR14">
        <v>375</v>
      </c>
      <c r="CT14">
        <v>7.36</v>
      </c>
      <c r="CU14">
        <v>114</v>
      </c>
      <c r="CV14">
        <v>21</v>
      </c>
      <c r="CW14">
        <v>12</v>
      </c>
      <c r="CX14">
        <v>5.9</v>
      </c>
      <c r="CY14">
        <v>54</v>
      </c>
      <c r="CZ14">
        <v>57</v>
      </c>
      <c r="DA14">
        <v>47</v>
      </c>
      <c r="DB14">
        <v>64</v>
      </c>
      <c r="DC14">
        <v>401</v>
      </c>
      <c r="DD14">
        <v>149</v>
      </c>
      <c r="DE14">
        <v>1</v>
      </c>
      <c r="DF14">
        <v>2</v>
      </c>
      <c r="DG14">
        <v>500</v>
      </c>
      <c r="DH14">
        <v>2000</v>
      </c>
      <c r="DI14">
        <v>1</v>
      </c>
      <c r="DJ14">
        <v>100</v>
      </c>
      <c r="DK14">
        <v>0.4</v>
      </c>
      <c r="DL14">
        <v>1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160</v>
      </c>
      <c r="DT14">
        <v>54</v>
      </c>
      <c r="DU14">
        <v>70</v>
      </c>
      <c r="DV14">
        <v>101</v>
      </c>
      <c r="DW14">
        <v>36.6</v>
      </c>
      <c r="DX14">
        <v>1</v>
      </c>
      <c r="DY14">
        <v>0</v>
      </c>
      <c r="DZ14">
        <v>0</v>
      </c>
      <c r="EA14">
        <v>0</v>
      </c>
      <c r="EC14">
        <v>3</v>
      </c>
      <c r="ED14">
        <v>4.7</v>
      </c>
      <c r="EE14">
        <v>50</v>
      </c>
      <c r="EF14">
        <v>8</v>
      </c>
      <c r="EG14">
        <v>100</v>
      </c>
      <c r="EH14">
        <v>0</v>
      </c>
      <c r="EI14">
        <v>0</v>
      </c>
      <c r="EJ14">
        <v>0.6</v>
      </c>
      <c r="EK14">
        <v>11</v>
      </c>
      <c r="EL14" t="s">
        <v>144</v>
      </c>
      <c r="EM14" t="s">
        <v>144</v>
      </c>
      <c r="EN14" t="s">
        <v>144</v>
      </c>
      <c r="EO14">
        <v>1</v>
      </c>
      <c r="EP14">
        <v>3.4</v>
      </c>
      <c r="EQ14">
        <v>14.67</v>
      </c>
      <c r="ER14">
        <v>5.5</v>
      </c>
      <c r="ES14">
        <v>6</v>
      </c>
      <c r="ET14">
        <v>43</v>
      </c>
      <c r="EU14">
        <v>185</v>
      </c>
      <c r="EV14">
        <v>58</v>
      </c>
      <c r="EW14">
        <v>93</v>
      </c>
      <c r="EX14">
        <v>76</v>
      </c>
      <c r="EY14">
        <v>3.7</v>
      </c>
      <c r="FA14">
        <v>1</v>
      </c>
      <c r="FB14">
        <v>1.9</v>
      </c>
      <c r="FC14">
        <v>78.12</v>
      </c>
      <c r="FG14">
        <v>204</v>
      </c>
      <c r="FH14">
        <v>63</v>
      </c>
      <c r="FI14">
        <v>103</v>
      </c>
      <c r="FJ14">
        <v>77</v>
      </c>
      <c r="FK14">
        <v>5.0999999999999996</v>
      </c>
      <c r="FM14">
        <v>1</v>
      </c>
      <c r="FN14">
        <v>3.1</v>
      </c>
      <c r="FO14">
        <v>20.8</v>
      </c>
      <c r="FS14">
        <v>105</v>
      </c>
      <c r="FT14">
        <v>48</v>
      </c>
      <c r="FU14">
        <v>67</v>
      </c>
      <c r="FV14">
        <v>89</v>
      </c>
      <c r="FW14">
        <v>4.0999999999999996</v>
      </c>
      <c r="FX14">
        <v>50</v>
      </c>
      <c r="GD14">
        <v>0</v>
      </c>
      <c r="GE14">
        <v>2.9</v>
      </c>
      <c r="GF14">
        <v>91.99</v>
      </c>
      <c r="GV14">
        <v>98</v>
      </c>
      <c r="GW14">
        <v>47</v>
      </c>
      <c r="GX14">
        <v>64</v>
      </c>
      <c r="GY14">
        <v>89</v>
      </c>
      <c r="GZ14">
        <v>3.9</v>
      </c>
      <c r="HB14">
        <v>0</v>
      </c>
      <c r="HC14">
        <v>2.7</v>
      </c>
      <c r="HD14">
        <v>94.51</v>
      </c>
      <c r="HK14">
        <f t="shared" si="2"/>
        <v>63.45</v>
      </c>
      <c r="HL14" s="16">
        <f t="shared" si="3"/>
        <v>4.3251533742331292</v>
      </c>
      <c r="HM14">
        <f t="shared" si="4"/>
        <v>71.19</v>
      </c>
      <c r="HN14" s="16">
        <f t="shared" si="5"/>
        <v>3.4225961538461536</v>
      </c>
      <c r="HO14" s="26">
        <f t="shared" si="6"/>
        <v>7.7399999999999949</v>
      </c>
      <c r="HP14">
        <f>HD14-FO14</f>
        <v>73.710000000000008</v>
      </c>
      <c r="HQ14" s="16">
        <f>HP14/FO14</f>
        <v>3.5437500000000002</v>
      </c>
      <c r="HR14">
        <f>HD14-GF14</f>
        <v>2.5200000000000102</v>
      </c>
      <c r="HS14">
        <f>EY14-ED14</f>
        <v>-1</v>
      </c>
      <c r="HT14" s="28">
        <f>(HS14/ED14)*100</f>
        <v>-21.276595744680851</v>
      </c>
      <c r="HU14">
        <f>FW14-FK14</f>
        <v>-1</v>
      </c>
      <c r="HV14" s="28">
        <f>(HU14/FK14)*100</f>
        <v>-19.607843137254903</v>
      </c>
    </row>
    <row r="15" spans="1:230" x14ac:dyDescent="0.35">
      <c r="A15" t="s">
        <v>361</v>
      </c>
      <c r="B15" t="s">
        <v>362</v>
      </c>
      <c r="C15" s="3">
        <v>16750</v>
      </c>
      <c r="D15">
        <v>77</v>
      </c>
      <c r="E15">
        <v>89</v>
      </c>
      <c r="F15">
        <v>187</v>
      </c>
      <c r="G15">
        <f t="shared" si="0"/>
        <v>1.87</v>
      </c>
      <c r="H15">
        <f t="shared" si="1"/>
        <v>25.45111384369012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K15" s="3">
        <v>45184</v>
      </c>
      <c r="AL15" t="s">
        <v>363</v>
      </c>
      <c r="AN15">
        <v>1</v>
      </c>
      <c r="AO15">
        <v>0</v>
      </c>
      <c r="AP15">
        <v>0</v>
      </c>
      <c r="AQ15">
        <v>0</v>
      </c>
      <c r="AR15">
        <v>0</v>
      </c>
      <c r="AT15">
        <v>7</v>
      </c>
      <c r="AU15">
        <v>1</v>
      </c>
      <c r="AV15">
        <v>0</v>
      </c>
      <c r="AW15">
        <v>1</v>
      </c>
      <c r="AX15">
        <v>1</v>
      </c>
      <c r="AY15">
        <v>4</v>
      </c>
      <c r="AZ15">
        <v>0</v>
      </c>
      <c r="BA15">
        <v>31.1</v>
      </c>
      <c r="BB15">
        <v>18.399999999999999</v>
      </c>
      <c r="BC15">
        <v>213</v>
      </c>
      <c r="BD15">
        <v>69</v>
      </c>
      <c r="BE15">
        <v>9.1</v>
      </c>
      <c r="BF15">
        <v>112</v>
      </c>
      <c r="BG15">
        <v>141</v>
      </c>
      <c r="BH15">
        <v>106</v>
      </c>
      <c r="BI15">
        <v>227</v>
      </c>
      <c r="BJ15">
        <v>43</v>
      </c>
      <c r="BM15">
        <v>7.49</v>
      </c>
      <c r="BN15">
        <v>72</v>
      </c>
      <c r="BO15">
        <v>25</v>
      </c>
      <c r="BP15">
        <v>19</v>
      </c>
      <c r="BQ15">
        <v>2.9</v>
      </c>
      <c r="BT15">
        <v>122</v>
      </c>
      <c r="BU15">
        <v>125</v>
      </c>
      <c r="BV15">
        <v>1292</v>
      </c>
      <c r="BW15">
        <v>128</v>
      </c>
      <c r="BX15" s="3">
        <v>45279</v>
      </c>
      <c r="CA15">
        <v>9</v>
      </c>
      <c r="CB15">
        <v>0</v>
      </c>
      <c r="CC15">
        <v>3</v>
      </c>
      <c r="CD15">
        <v>1</v>
      </c>
      <c r="CE15">
        <v>1</v>
      </c>
      <c r="CF15">
        <v>4</v>
      </c>
      <c r="CG15">
        <v>0</v>
      </c>
      <c r="CH15">
        <v>13.6</v>
      </c>
      <c r="CI15">
        <v>13.1</v>
      </c>
      <c r="CJ15">
        <v>213</v>
      </c>
      <c r="CK15">
        <v>61</v>
      </c>
      <c r="CL15">
        <v>17</v>
      </c>
      <c r="CM15">
        <v>166</v>
      </c>
      <c r="CN15">
        <v>145</v>
      </c>
      <c r="CO15">
        <v>112</v>
      </c>
      <c r="CP15">
        <v>248</v>
      </c>
      <c r="CT15">
        <v>7.42</v>
      </c>
      <c r="CU15">
        <v>148</v>
      </c>
      <c r="CV15">
        <v>32</v>
      </c>
      <c r="CW15">
        <v>21</v>
      </c>
      <c r="CX15">
        <v>1.5</v>
      </c>
      <c r="CY15">
        <v>59</v>
      </c>
      <c r="DA15">
        <v>77</v>
      </c>
      <c r="DB15">
        <v>80</v>
      </c>
      <c r="DC15">
        <v>1688</v>
      </c>
      <c r="DD15">
        <v>47</v>
      </c>
      <c r="DE15">
        <v>2</v>
      </c>
      <c r="DF15">
        <v>2</v>
      </c>
      <c r="DG15">
        <v>100</v>
      </c>
      <c r="DH15">
        <v>500</v>
      </c>
      <c r="DI15">
        <v>1</v>
      </c>
      <c r="DJ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123</v>
      </c>
      <c r="DT15">
        <v>76</v>
      </c>
      <c r="DU15">
        <v>91</v>
      </c>
      <c r="DV15">
        <v>97</v>
      </c>
      <c r="DW15">
        <v>37.5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3</v>
      </c>
      <c r="EO15">
        <v>4</v>
      </c>
      <c r="EP15">
        <v>2.2999999999999998</v>
      </c>
      <c r="EQ15">
        <v>50.55</v>
      </c>
      <c r="ER15">
        <v>11.99</v>
      </c>
      <c r="ES15">
        <v>21</v>
      </c>
      <c r="ET15">
        <v>77</v>
      </c>
      <c r="EU15">
        <v>146</v>
      </c>
      <c r="EV15">
        <v>89</v>
      </c>
      <c r="EW15">
        <v>104</v>
      </c>
      <c r="EX15">
        <v>98</v>
      </c>
      <c r="FB15">
        <v>1.7</v>
      </c>
      <c r="FC15">
        <v>115.54</v>
      </c>
      <c r="FG15">
        <v>118</v>
      </c>
      <c r="FH15">
        <v>73</v>
      </c>
      <c r="FI15">
        <v>88</v>
      </c>
      <c r="FJ15">
        <v>98</v>
      </c>
      <c r="FM15">
        <v>4</v>
      </c>
      <c r="FN15">
        <v>2.1</v>
      </c>
      <c r="FO15">
        <v>16.47</v>
      </c>
      <c r="FS15">
        <v>131</v>
      </c>
      <c r="FT15">
        <v>71</v>
      </c>
      <c r="FU15">
        <v>98</v>
      </c>
      <c r="FV15">
        <v>98</v>
      </c>
      <c r="GD15">
        <v>4</v>
      </c>
      <c r="GE15">
        <v>1.4</v>
      </c>
      <c r="GF15">
        <v>109.23</v>
      </c>
      <c r="GV15">
        <v>131</v>
      </c>
      <c r="GW15">
        <v>71</v>
      </c>
      <c r="GX15">
        <v>98</v>
      </c>
      <c r="GY15">
        <v>97</v>
      </c>
      <c r="HB15">
        <v>3</v>
      </c>
      <c r="HC15">
        <v>0.6</v>
      </c>
      <c r="HD15">
        <v>176.49</v>
      </c>
      <c r="HE15" t="s">
        <v>364</v>
      </c>
      <c r="HK15">
        <f t="shared" si="2"/>
        <v>64.990000000000009</v>
      </c>
      <c r="HL15" s="16">
        <f t="shared" si="3"/>
        <v>1.2856577645895155</v>
      </c>
      <c r="HM15">
        <f t="shared" si="4"/>
        <v>92.76</v>
      </c>
      <c r="HN15" s="16">
        <f t="shared" si="5"/>
        <v>5.632058287795993</v>
      </c>
      <c r="HO15" s="26">
        <f t="shared" si="6"/>
        <v>27.769999999999996</v>
      </c>
      <c r="HP15">
        <f>HD15-FO15</f>
        <v>160.02000000000001</v>
      </c>
      <c r="HT15" s="28"/>
      <c r="HV15" s="28"/>
    </row>
    <row r="16" spans="1:230" x14ac:dyDescent="0.35">
      <c r="A16" t="s">
        <v>312</v>
      </c>
      <c r="B16" t="s">
        <v>313</v>
      </c>
      <c r="C16" s="3">
        <v>27345</v>
      </c>
      <c r="D16">
        <v>48</v>
      </c>
      <c r="E16">
        <v>51</v>
      </c>
      <c r="F16">
        <v>170</v>
      </c>
      <c r="G16">
        <f t="shared" si="0"/>
        <v>1.7</v>
      </c>
      <c r="H16">
        <f t="shared" si="1"/>
        <v>17.647058823529413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314</v>
      </c>
      <c r="AK16" s="3">
        <v>45138</v>
      </c>
      <c r="AL16" t="s">
        <v>315</v>
      </c>
      <c r="AN16">
        <v>0</v>
      </c>
      <c r="AO16">
        <v>0</v>
      </c>
      <c r="AP16">
        <v>0</v>
      </c>
      <c r="AQ16">
        <v>0</v>
      </c>
      <c r="AR16">
        <v>0</v>
      </c>
      <c r="AT16">
        <v>2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1</v>
      </c>
      <c r="BA16">
        <v>13.9</v>
      </c>
      <c r="BB16">
        <v>11.6</v>
      </c>
      <c r="BC16">
        <v>148</v>
      </c>
      <c r="BD16">
        <v>66</v>
      </c>
      <c r="BE16">
        <v>2</v>
      </c>
      <c r="BF16">
        <v>47</v>
      </c>
      <c r="BG16">
        <v>129</v>
      </c>
      <c r="BH16">
        <v>98</v>
      </c>
      <c r="BI16">
        <v>16</v>
      </c>
      <c r="BJ16">
        <v>15</v>
      </c>
      <c r="BK16">
        <v>0.34</v>
      </c>
      <c r="BL16">
        <v>29</v>
      </c>
      <c r="BM16">
        <v>6.97</v>
      </c>
      <c r="BN16">
        <v>280</v>
      </c>
      <c r="BO16">
        <v>12</v>
      </c>
      <c r="BP16">
        <v>3</v>
      </c>
      <c r="BQ16">
        <v>1.6</v>
      </c>
      <c r="BR16">
        <v>67</v>
      </c>
      <c r="BS16">
        <v>231</v>
      </c>
      <c r="BT16">
        <v>506</v>
      </c>
      <c r="BU16">
        <v>185</v>
      </c>
      <c r="BV16">
        <v>965</v>
      </c>
      <c r="BW16">
        <v>117</v>
      </c>
      <c r="BX16" s="3">
        <v>45139</v>
      </c>
      <c r="BY16">
        <v>12</v>
      </c>
      <c r="BZ16">
        <v>51</v>
      </c>
      <c r="CA16">
        <v>4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2</v>
      </c>
      <c r="CH16">
        <v>11</v>
      </c>
      <c r="CI16">
        <v>10.3</v>
      </c>
      <c r="CJ16">
        <v>99</v>
      </c>
      <c r="CK16">
        <v>64</v>
      </c>
      <c r="CL16">
        <v>1.9</v>
      </c>
      <c r="CM16">
        <v>58</v>
      </c>
      <c r="CN16">
        <v>133</v>
      </c>
      <c r="CO16">
        <v>100</v>
      </c>
      <c r="CP16">
        <v>19</v>
      </c>
      <c r="CQ16" t="s">
        <v>282</v>
      </c>
      <c r="CR16" t="s">
        <v>282</v>
      </c>
      <c r="CS16" t="s">
        <v>282</v>
      </c>
      <c r="CT16">
        <v>7.25</v>
      </c>
      <c r="CU16">
        <v>114</v>
      </c>
      <c r="CV16">
        <v>16</v>
      </c>
      <c r="CW16">
        <v>7</v>
      </c>
      <c r="CX16">
        <v>0.8</v>
      </c>
      <c r="CY16" t="s">
        <v>144</v>
      </c>
      <c r="CZ16" t="s">
        <v>144</v>
      </c>
      <c r="DA16">
        <v>320</v>
      </c>
      <c r="DB16">
        <v>140</v>
      </c>
      <c r="DC16" t="s">
        <v>144</v>
      </c>
      <c r="DD16" t="s">
        <v>144</v>
      </c>
      <c r="DE16">
        <v>1</v>
      </c>
      <c r="DF16">
        <v>1</v>
      </c>
      <c r="DG16">
        <v>500</v>
      </c>
      <c r="DH16">
        <v>2000</v>
      </c>
      <c r="DI16">
        <v>1</v>
      </c>
      <c r="DJ16">
        <v>2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94</v>
      </c>
      <c r="DT16">
        <v>73</v>
      </c>
      <c r="DU16">
        <v>81</v>
      </c>
      <c r="DV16">
        <v>107</v>
      </c>
      <c r="DW16">
        <v>36.5</v>
      </c>
      <c r="DX16">
        <v>1</v>
      </c>
      <c r="DY16">
        <v>0</v>
      </c>
      <c r="DZ16">
        <v>0</v>
      </c>
      <c r="EA16">
        <v>0</v>
      </c>
      <c r="EC16">
        <v>0</v>
      </c>
      <c r="ED16">
        <v>2.8</v>
      </c>
      <c r="EE16">
        <v>30</v>
      </c>
      <c r="EF16">
        <v>15</v>
      </c>
      <c r="EG16">
        <v>50</v>
      </c>
      <c r="EH16">
        <v>0</v>
      </c>
      <c r="EI16">
        <v>0</v>
      </c>
      <c r="EJ16">
        <v>1</v>
      </c>
      <c r="EK16">
        <v>7.4</v>
      </c>
      <c r="EL16" t="s">
        <v>144</v>
      </c>
      <c r="EM16" t="s">
        <v>144</v>
      </c>
      <c r="EN16" t="s">
        <v>144</v>
      </c>
      <c r="EO16" t="s">
        <v>144</v>
      </c>
      <c r="EP16">
        <v>1.35</v>
      </c>
      <c r="EQ16">
        <v>391.51</v>
      </c>
      <c r="ER16">
        <v>16.100000000000001</v>
      </c>
      <c r="ES16">
        <v>329.6</v>
      </c>
      <c r="ET16">
        <v>434.4</v>
      </c>
      <c r="EU16">
        <v>93</v>
      </c>
      <c r="EV16">
        <v>74</v>
      </c>
      <c r="EW16">
        <v>82</v>
      </c>
      <c r="EX16">
        <v>109</v>
      </c>
      <c r="EY16">
        <v>3.2</v>
      </c>
      <c r="EZ16" t="s">
        <v>144</v>
      </c>
      <c r="FA16">
        <v>0</v>
      </c>
      <c r="FB16">
        <v>1.1000000000000001</v>
      </c>
      <c r="FC16">
        <v>472.22</v>
      </c>
      <c r="FG16">
        <v>91</v>
      </c>
      <c r="FH16">
        <v>71</v>
      </c>
      <c r="FI16">
        <v>79</v>
      </c>
      <c r="FJ16">
        <v>111</v>
      </c>
      <c r="FK16">
        <v>2.8</v>
      </c>
      <c r="FL16" t="s">
        <v>144</v>
      </c>
      <c r="FM16">
        <v>0</v>
      </c>
      <c r="FN16">
        <v>2.1</v>
      </c>
      <c r="FO16">
        <v>247.26</v>
      </c>
      <c r="FS16">
        <v>92</v>
      </c>
      <c r="FT16">
        <v>74</v>
      </c>
      <c r="FU16">
        <v>81</v>
      </c>
      <c r="FV16">
        <v>101</v>
      </c>
      <c r="FW16">
        <v>3.2</v>
      </c>
      <c r="GD16">
        <v>0</v>
      </c>
      <c r="GE16">
        <v>0.7</v>
      </c>
      <c r="GF16">
        <v>366.7</v>
      </c>
      <c r="GJ16">
        <v>95</v>
      </c>
      <c r="GK16">
        <v>77</v>
      </c>
      <c r="GL16">
        <v>85</v>
      </c>
      <c r="GM16">
        <v>108</v>
      </c>
      <c r="GN16">
        <v>3</v>
      </c>
      <c r="GO16" t="s">
        <v>144</v>
      </c>
      <c r="GP16">
        <v>0</v>
      </c>
      <c r="GQ16">
        <v>1.05</v>
      </c>
      <c r="GR16">
        <v>304.64</v>
      </c>
      <c r="GV16">
        <v>100</v>
      </c>
      <c r="GW16">
        <v>77</v>
      </c>
      <c r="GX16">
        <v>86</v>
      </c>
      <c r="GY16">
        <v>105</v>
      </c>
      <c r="GZ16">
        <v>3.2</v>
      </c>
      <c r="HA16" t="s">
        <v>144</v>
      </c>
      <c r="HB16">
        <v>0</v>
      </c>
      <c r="HC16">
        <v>0.8</v>
      </c>
      <c r="HD16">
        <v>370.1</v>
      </c>
      <c r="HK16">
        <f t="shared" si="2"/>
        <v>80.710000000000036</v>
      </c>
      <c r="HL16" s="16">
        <f t="shared" si="3"/>
        <v>0.20615054532451288</v>
      </c>
      <c r="HM16">
        <f t="shared" si="4"/>
        <v>119.44</v>
      </c>
      <c r="HN16" s="16">
        <f t="shared" si="5"/>
        <v>0.48305427485238212</v>
      </c>
      <c r="HO16" s="26">
        <f t="shared" si="6"/>
        <v>38.729999999999961</v>
      </c>
      <c r="HP16">
        <f>HD16-FO16</f>
        <v>122.84000000000003</v>
      </c>
      <c r="HQ16" s="16">
        <f>HP16/FO16</f>
        <v>0.49680498260939915</v>
      </c>
      <c r="HR16">
        <f>HD16-GF16</f>
        <v>3.4000000000000341</v>
      </c>
      <c r="HS16">
        <f t="shared" ref="HS16:HS22" si="8">EY16-ED16</f>
        <v>0.40000000000000036</v>
      </c>
      <c r="HT16" s="28">
        <f t="shared" ref="HT16:HT22" si="9">(HS16/ED16)*100</f>
        <v>14.285714285714299</v>
      </c>
      <c r="HU16">
        <f t="shared" ref="HU16:HU22" si="10">FW16-FK16</f>
        <v>0.40000000000000036</v>
      </c>
      <c r="HV16" s="29">
        <f t="shared" ref="HV16:HV22" si="11">(HU16/FK16)*100</f>
        <v>14.285714285714299</v>
      </c>
    </row>
    <row r="17" spans="1:230" x14ac:dyDescent="0.35">
      <c r="A17" s="21" t="s">
        <v>235</v>
      </c>
      <c r="B17" s="21" t="s">
        <v>236</v>
      </c>
      <c r="C17" s="22">
        <v>20460</v>
      </c>
      <c r="D17" s="21">
        <v>67</v>
      </c>
      <c r="E17" s="21">
        <v>75</v>
      </c>
      <c r="F17" s="21">
        <v>164</v>
      </c>
      <c r="G17">
        <f t="shared" si="0"/>
        <v>1.64</v>
      </c>
      <c r="H17">
        <f t="shared" si="1"/>
        <v>27.885187388459254</v>
      </c>
      <c r="I17" s="21">
        <v>1</v>
      </c>
      <c r="J17" s="21">
        <v>0</v>
      </c>
      <c r="K17" s="21">
        <v>0</v>
      </c>
      <c r="L17" s="21">
        <v>0</v>
      </c>
      <c r="M17" s="21">
        <v>1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1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 t="s">
        <v>144</v>
      </c>
      <c r="AG17" s="21">
        <v>0</v>
      </c>
      <c r="AH17" s="21">
        <v>0</v>
      </c>
      <c r="AI17" s="21">
        <v>0</v>
      </c>
      <c r="AJ17" s="21">
        <v>0</v>
      </c>
      <c r="AK17" s="22">
        <v>45005</v>
      </c>
      <c r="AL17" s="21" t="s">
        <v>38</v>
      </c>
      <c r="AM17" s="21"/>
      <c r="AN17" s="21">
        <v>1</v>
      </c>
      <c r="AO17" s="21">
        <v>1</v>
      </c>
      <c r="AP17" s="21">
        <v>0</v>
      </c>
      <c r="AQ17" s="21">
        <v>0</v>
      </c>
      <c r="AR17" s="21">
        <v>0</v>
      </c>
      <c r="AS17" s="21">
        <v>87</v>
      </c>
      <c r="AT17" s="21">
        <v>10</v>
      </c>
      <c r="AU17" s="21">
        <v>4</v>
      </c>
      <c r="AV17" s="21">
        <v>0</v>
      </c>
      <c r="AW17" s="21">
        <v>3</v>
      </c>
      <c r="AX17" s="21">
        <v>4</v>
      </c>
      <c r="AY17" s="21">
        <v>0</v>
      </c>
      <c r="AZ17" s="21">
        <v>0</v>
      </c>
      <c r="BA17" s="21">
        <v>22.92</v>
      </c>
      <c r="BB17" s="21">
        <v>11.2</v>
      </c>
      <c r="BC17" s="21">
        <v>486</v>
      </c>
      <c r="BD17" s="21">
        <v>61</v>
      </c>
      <c r="BE17" s="21">
        <v>28</v>
      </c>
      <c r="BF17" s="21">
        <v>482</v>
      </c>
      <c r="BG17" s="21">
        <v>131</v>
      </c>
      <c r="BH17" s="21">
        <v>92</v>
      </c>
      <c r="BI17" s="21">
        <v>5</v>
      </c>
      <c r="BJ17" s="21" t="s">
        <v>144</v>
      </c>
      <c r="BK17" s="21" t="s">
        <v>144</v>
      </c>
      <c r="BL17" s="21" t="s">
        <v>144</v>
      </c>
      <c r="BM17" s="21">
        <v>7.07</v>
      </c>
      <c r="BN17" s="21">
        <v>397</v>
      </c>
      <c r="BO17" s="21">
        <v>31</v>
      </c>
      <c r="BP17" s="21">
        <v>8</v>
      </c>
      <c r="BQ17" s="21">
        <v>15.9</v>
      </c>
      <c r="BR17" s="21">
        <v>55</v>
      </c>
      <c r="BS17" s="21">
        <v>80</v>
      </c>
      <c r="BT17" s="21">
        <v>55</v>
      </c>
      <c r="BU17" s="21">
        <v>28</v>
      </c>
      <c r="BV17" s="21">
        <v>911</v>
      </c>
      <c r="BW17" s="21">
        <v>613</v>
      </c>
      <c r="BX17" s="22">
        <v>45015</v>
      </c>
      <c r="BY17" s="21">
        <v>72</v>
      </c>
      <c r="BZ17" s="21">
        <v>72</v>
      </c>
      <c r="CA17" s="21">
        <v>11</v>
      </c>
      <c r="CB17" s="21">
        <v>4</v>
      </c>
      <c r="CC17" s="21">
        <v>3</v>
      </c>
      <c r="CD17" s="21">
        <v>4</v>
      </c>
      <c r="CE17" s="21">
        <v>0</v>
      </c>
      <c r="CF17" s="21">
        <v>0</v>
      </c>
      <c r="CG17" s="21">
        <v>0</v>
      </c>
      <c r="CH17" s="21">
        <v>12.56</v>
      </c>
      <c r="CI17" s="21">
        <v>8.8000000000000007</v>
      </c>
      <c r="CJ17" s="21">
        <v>392</v>
      </c>
      <c r="CK17" s="21">
        <v>65</v>
      </c>
      <c r="CL17" s="21">
        <v>10</v>
      </c>
      <c r="CM17" s="21">
        <v>94</v>
      </c>
      <c r="CN17" s="21">
        <v>143</v>
      </c>
      <c r="CO17" s="21">
        <v>104</v>
      </c>
      <c r="CP17" s="21">
        <v>9</v>
      </c>
      <c r="CQ17" s="21" t="s">
        <v>268</v>
      </c>
      <c r="CR17" s="21" t="s">
        <v>74</v>
      </c>
      <c r="CS17" s="21" t="s">
        <v>268</v>
      </c>
      <c r="CT17" s="21">
        <v>7.51</v>
      </c>
      <c r="CU17" s="21">
        <v>70</v>
      </c>
      <c r="CV17" s="21">
        <v>33</v>
      </c>
      <c r="CW17" s="21">
        <v>26</v>
      </c>
      <c r="CX17" s="21">
        <v>2.7</v>
      </c>
      <c r="CY17" s="21">
        <v>68</v>
      </c>
      <c r="CZ17" s="21" t="s">
        <v>144</v>
      </c>
      <c r="DA17" s="21">
        <v>47</v>
      </c>
      <c r="DB17" s="21">
        <v>19</v>
      </c>
      <c r="DC17" s="21" t="s">
        <v>144</v>
      </c>
      <c r="DD17" s="21" t="s">
        <v>144</v>
      </c>
      <c r="DE17" s="21">
        <v>3</v>
      </c>
      <c r="DF17" s="21">
        <v>1</v>
      </c>
      <c r="DG17" s="21">
        <v>500</v>
      </c>
      <c r="DH17" s="21"/>
      <c r="DI17" s="21">
        <v>0</v>
      </c>
      <c r="DJ17" s="21">
        <v>0</v>
      </c>
      <c r="DK17" s="21">
        <v>0.1</v>
      </c>
      <c r="DL17" s="21">
        <v>1</v>
      </c>
      <c r="DM17" s="21">
        <v>0</v>
      </c>
      <c r="DN17" s="21">
        <v>0</v>
      </c>
      <c r="DO17" s="21">
        <v>0</v>
      </c>
      <c r="DP17" s="21">
        <v>0</v>
      </c>
      <c r="DQ17" s="21">
        <v>0</v>
      </c>
      <c r="DR17" s="21">
        <v>0</v>
      </c>
      <c r="DS17" s="21">
        <v>114</v>
      </c>
      <c r="DT17" s="21">
        <v>56</v>
      </c>
      <c r="DU17" s="21">
        <v>73</v>
      </c>
      <c r="DV17" s="21">
        <v>123</v>
      </c>
      <c r="DW17" s="21">
        <v>39</v>
      </c>
      <c r="DX17" s="21">
        <v>0</v>
      </c>
      <c r="DY17" s="21">
        <v>1</v>
      </c>
      <c r="DZ17" s="21">
        <v>0</v>
      </c>
      <c r="EA17" s="21">
        <v>5</v>
      </c>
      <c r="EB17" s="21">
        <v>40</v>
      </c>
      <c r="EC17" s="21">
        <v>60</v>
      </c>
      <c r="ED17" s="21">
        <v>5.8</v>
      </c>
      <c r="EE17" s="21">
        <v>50</v>
      </c>
      <c r="EF17" s="21">
        <v>8</v>
      </c>
      <c r="EG17" s="21">
        <v>100</v>
      </c>
      <c r="EH17" s="21">
        <v>0</v>
      </c>
      <c r="EI17" s="21">
        <v>0</v>
      </c>
      <c r="EJ17" s="21">
        <v>0.7</v>
      </c>
      <c r="EK17" s="21">
        <v>5.6</v>
      </c>
      <c r="EL17" s="21">
        <v>16</v>
      </c>
      <c r="EM17" s="21" t="s">
        <v>144</v>
      </c>
      <c r="EN17" s="21" t="s">
        <v>144</v>
      </c>
      <c r="EO17" s="21">
        <v>0</v>
      </c>
      <c r="EP17" s="21">
        <v>1.1000000000000001</v>
      </c>
      <c r="EQ17" s="21">
        <v>260.93</v>
      </c>
      <c r="ER17" s="21">
        <v>8.4600000000000009</v>
      </c>
      <c r="ES17" s="21">
        <v>235.13</v>
      </c>
      <c r="ET17" s="21">
        <v>293.52</v>
      </c>
      <c r="EU17" s="21">
        <v>122</v>
      </c>
      <c r="EV17" s="21">
        <v>55</v>
      </c>
      <c r="EW17" s="21">
        <v>73</v>
      </c>
      <c r="EX17" s="21">
        <v>128</v>
      </c>
      <c r="EY17" s="21">
        <v>6.6</v>
      </c>
      <c r="EZ17" s="21">
        <v>12</v>
      </c>
      <c r="FA17" s="21">
        <v>0</v>
      </c>
      <c r="FB17" s="21">
        <v>0.9</v>
      </c>
      <c r="FC17" s="21">
        <v>285</v>
      </c>
      <c r="FD17" s="21"/>
      <c r="FE17" s="21"/>
      <c r="FF17" s="21"/>
      <c r="FG17" s="21">
        <v>109</v>
      </c>
      <c r="FH17" s="21">
        <v>53</v>
      </c>
      <c r="FI17" s="21">
        <v>69</v>
      </c>
      <c r="FJ17" s="21">
        <v>123</v>
      </c>
      <c r="FK17" s="21">
        <v>6.1</v>
      </c>
      <c r="FL17" s="21">
        <v>14</v>
      </c>
      <c r="FM17" s="21">
        <v>0</v>
      </c>
      <c r="FN17" s="21">
        <v>1.05</v>
      </c>
      <c r="FO17" s="21">
        <v>236</v>
      </c>
      <c r="FP17" s="21"/>
      <c r="FQ17" s="21"/>
      <c r="FR17" s="21"/>
      <c r="FS17" s="21">
        <v>114</v>
      </c>
      <c r="FT17" s="21">
        <v>55</v>
      </c>
      <c r="FU17" s="21">
        <v>73</v>
      </c>
      <c r="FV17" s="21">
        <v>117</v>
      </c>
      <c r="FW17" s="21">
        <v>6.1</v>
      </c>
      <c r="FX17" s="21">
        <v>60</v>
      </c>
      <c r="FY17" s="21">
        <v>12</v>
      </c>
      <c r="FZ17" s="21">
        <v>50</v>
      </c>
      <c r="GA17" s="21">
        <v>0.7</v>
      </c>
      <c r="GB17" s="21">
        <v>5.0999999999999996</v>
      </c>
      <c r="GC17" s="21">
        <v>10</v>
      </c>
      <c r="GD17" s="21">
        <v>0</v>
      </c>
      <c r="GE17" s="21">
        <v>0.8</v>
      </c>
      <c r="GF17" s="21">
        <v>366.76</v>
      </c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>
        <f t="shared" si="2"/>
        <v>24.069999999999993</v>
      </c>
      <c r="HL17" s="23">
        <f t="shared" si="3"/>
        <v>9.2246962786954323E-2</v>
      </c>
      <c r="HM17" s="21">
        <f t="shared" si="4"/>
        <v>130.76</v>
      </c>
      <c r="HN17" s="23">
        <f t="shared" si="5"/>
        <v>0.55406779661016947</v>
      </c>
      <c r="HO17" s="26">
        <f t="shared" si="6"/>
        <v>106.69</v>
      </c>
      <c r="HQ17" s="23"/>
      <c r="HR17" s="21"/>
      <c r="HS17">
        <f t="shared" si="8"/>
        <v>0.79999999999999982</v>
      </c>
      <c r="HT17" s="28">
        <f t="shared" si="9"/>
        <v>13.793103448275859</v>
      </c>
      <c r="HU17">
        <f t="shared" si="10"/>
        <v>0</v>
      </c>
      <c r="HV17" s="28">
        <f t="shared" si="11"/>
        <v>0</v>
      </c>
    </row>
    <row r="18" spans="1:230" x14ac:dyDescent="0.35">
      <c r="A18" t="s">
        <v>196</v>
      </c>
      <c r="B18" t="s">
        <v>197</v>
      </c>
      <c r="C18" s="3">
        <v>34756</v>
      </c>
      <c r="D18">
        <v>28</v>
      </c>
      <c r="E18">
        <v>107</v>
      </c>
      <c r="F18">
        <v>155</v>
      </c>
      <c r="G18">
        <f t="shared" si="0"/>
        <v>1.55</v>
      </c>
      <c r="H18">
        <f t="shared" si="1"/>
        <v>44.536940686784597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144</v>
      </c>
      <c r="AG18">
        <v>0</v>
      </c>
      <c r="AH18">
        <v>0</v>
      </c>
      <c r="AI18">
        <v>0</v>
      </c>
      <c r="AJ18">
        <v>0</v>
      </c>
      <c r="AK18" s="3">
        <v>44978</v>
      </c>
      <c r="AL18" t="s">
        <v>198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36</v>
      </c>
      <c r="AT18">
        <v>5</v>
      </c>
      <c r="AU18">
        <v>0</v>
      </c>
      <c r="AV18">
        <v>3</v>
      </c>
      <c r="AW18">
        <v>2</v>
      </c>
      <c r="AX18">
        <v>0</v>
      </c>
      <c r="AY18">
        <v>0</v>
      </c>
      <c r="AZ18">
        <v>0</v>
      </c>
      <c r="BA18">
        <v>16.07</v>
      </c>
      <c r="BB18">
        <v>9.3000000000000007</v>
      </c>
      <c r="BC18">
        <v>477</v>
      </c>
      <c r="BD18">
        <v>53</v>
      </c>
      <c r="BE18">
        <v>5.7</v>
      </c>
      <c r="BF18">
        <v>45</v>
      </c>
      <c r="BG18">
        <v>150</v>
      </c>
      <c r="BH18">
        <v>109</v>
      </c>
      <c r="BI18">
        <v>12</v>
      </c>
      <c r="BJ18">
        <v>620</v>
      </c>
      <c r="BK18">
        <v>15.37</v>
      </c>
      <c r="BL18" t="s">
        <v>144</v>
      </c>
      <c r="BM18">
        <v>7.54</v>
      </c>
      <c r="BN18">
        <v>47</v>
      </c>
      <c r="BO18">
        <v>75</v>
      </c>
      <c r="BP18">
        <v>40</v>
      </c>
      <c r="BQ18">
        <v>1.7</v>
      </c>
      <c r="BR18">
        <v>31</v>
      </c>
      <c r="BS18">
        <v>22</v>
      </c>
      <c r="BT18">
        <v>49</v>
      </c>
      <c r="BU18">
        <v>15</v>
      </c>
      <c r="BV18">
        <v>868</v>
      </c>
      <c r="BW18">
        <v>91</v>
      </c>
      <c r="BX18" s="3">
        <v>44948</v>
      </c>
      <c r="BY18">
        <v>18</v>
      </c>
      <c r="BZ18">
        <v>107</v>
      </c>
      <c r="CA18">
        <v>14</v>
      </c>
      <c r="CB18">
        <v>4</v>
      </c>
      <c r="CC18">
        <v>3</v>
      </c>
      <c r="CD18">
        <v>4</v>
      </c>
      <c r="CE18">
        <v>0</v>
      </c>
      <c r="CF18">
        <v>0</v>
      </c>
      <c r="CG18">
        <v>0</v>
      </c>
      <c r="CH18">
        <v>14.86</v>
      </c>
      <c r="CI18">
        <v>8.9</v>
      </c>
      <c r="CJ18">
        <v>488</v>
      </c>
      <c r="CK18">
        <v>53</v>
      </c>
      <c r="CL18">
        <v>4.9000000000000004</v>
      </c>
      <c r="CM18">
        <v>42</v>
      </c>
      <c r="CN18">
        <v>138</v>
      </c>
      <c r="CO18">
        <v>100</v>
      </c>
      <c r="CP18">
        <v>12</v>
      </c>
      <c r="CQ18" t="s">
        <v>144</v>
      </c>
      <c r="CR18" t="s">
        <v>144</v>
      </c>
      <c r="CS18" t="s">
        <v>144</v>
      </c>
      <c r="CT18">
        <v>7.39</v>
      </c>
      <c r="CU18">
        <v>57</v>
      </c>
      <c r="CV18">
        <v>46</v>
      </c>
      <c r="CW18">
        <v>28</v>
      </c>
      <c r="CX18">
        <v>2.2000000000000002</v>
      </c>
      <c r="CY18">
        <v>59</v>
      </c>
      <c r="CZ18" t="s">
        <v>144</v>
      </c>
      <c r="DA18">
        <v>43</v>
      </c>
      <c r="DB18">
        <v>11</v>
      </c>
      <c r="DC18">
        <v>835</v>
      </c>
      <c r="DD18">
        <v>107</v>
      </c>
      <c r="DE18">
        <v>3</v>
      </c>
      <c r="DF18">
        <v>2</v>
      </c>
      <c r="DG18">
        <v>100</v>
      </c>
      <c r="DH18">
        <v>500</v>
      </c>
      <c r="DI18">
        <v>1</v>
      </c>
      <c r="DJ18">
        <v>0</v>
      </c>
      <c r="DL18">
        <v>0</v>
      </c>
      <c r="DM18">
        <v>0</v>
      </c>
      <c r="DN18">
        <v>0</v>
      </c>
      <c r="DO18">
        <v>100</v>
      </c>
      <c r="DP18">
        <v>0</v>
      </c>
      <c r="DQ18">
        <v>0</v>
      </c>
      <c r="DR18">
        <v>0</v>
      </c>
      <c r="DS18">
        <v>151</v>
      </c>
      <c r="DT18">
        <v>83</v>
      </c>
      <c r="DU18">
        <v>105</v>
      </c>
      <c r="DV18">
        <v>148</v>
      </c>
      <c r="DW18">
        <v>39.5</v>
      </c>
      <c r="DX18">
        <v>0</v>
      </c>
      <c r="DY18">
        <v>0</v>
      </c>
      <c r="DZ18">
        <v>1</v>
      </c>
      <c r="EA18">
        <v>10</v>
      </c>
      <c r="EB18">
        <v>100</v>
      </c>
      <c r="EC18">
        <v>60</v>
      </c>
      <c r="ED18">
        <v>7.3</v>
      </c>
      <c r="EE18">
        <v>50</v>
      </c>
      <c r="EF18">
        <v>12</v>
      </c>
      <c r="EG18">
        <v>50</v>
      </c>
      <c r="EH18">
        <v>0</v>
      </c>
      <c r="EI18">
        <v>0</v>
      </c>
      <c r="EJ18">
        <v>0.8</v>
      </c>
      <c r="EK18">
        <v>9.5</v>
      </c>
      <c r="EL18">
        <v>14</v>
      </c>
      <c r="EM18" t="s">
        <v>144</v>
      </c>
      <c r="EN18">
        <v>5</v>
      </c>
      <c r="EO18">
        <v>0</v>
      </c>
      <c r="EP18">
        <v>2.5299999999999998</v>
      </c>
      <c r="EQ18">
        <v>34.72</v>
      </c>
      <c r="ER18">
        <v>4.83</v>
      </c>
      <c r="ES18">
        <v>21.27</v>
      </c>
      <c r="ET18">
        <v>53.47</v>
      </c>
      <c r="EU18">
        <v>144</v>
      </c>
      <c r="EV18">
        <v>80</v>
      </c>
      <c r="EW18">
        <v>99</v>
      </c>
      <c r="EX18">
        <v>148</v>
      </c>
      <c r="EY18">
        <v>8.1999999999999993</v>
      </c>
      <c r="EZ18">
        <v>18</v>
      </c>
      <c r="FA18">
        <v>0</v>
      </c>
      <c r="FB18">
        <v>1.55</v>
      </c>
      <c r="FC18">
        <v>91.04</v>
      </c>
      <c r="FD18">
        <v>31.12</v>
      </c>
      <c r="FE18">
        <v>20.72</v>
      </c>
      <c r="FF18">
        <v>156.91999999999999</v>
      </c>
      <c r="FG18">
        <v>144</v>
      </c>
      <c r="FH18">
        <v>86</v>
      </c>
      <c r="FI18">
        <v>100</v>
      </c>
      <c r="FJ18">
        <v>144</v>
      </c>
      <c r="FK18">
        <v>9</v>
      </c>
      <c r="FL18">
        <v>17</v>
      </c>
      <c r="FM18">
        <v>0</v>
      </c>
      <c r="FN18">
        <v>2.12</v>
      </c>
      <c r="FO18">
        <v>67.92</v>
      </c>
      <c r="FP18">
        <v>22.51</v>
      </c>
      <c r="FQ18">
        <v>26.15</v>
      </c>
      <c r="FR18">
        <v>112</v>
      </c>
      <c r="FS18">
        <v>143</v>
      </c>
      <c r="FT18">
        <v>76</v>
      </c>
      <c r="FU18">
        <v>97</v>
      </c>
      <c r="FV18">
        <v>136</v>
      </c>
      <c r="FW18">
        <v>7.4</v>
      </c>
      <c r="GC18">
        <v>12</v>
      </c>
      <c r="GD18">
        <v>0</v>
      </c>
      <c r="GE18">
        <v>1.32</v>
      </c>
      <c r="GF18">
        <v>209.74</v>
      </c>
      <c r="GG18">
        <v>11.86</v>
      </c>
      <c r="GH18">
        <v>175.48</v>
      </c>
      <c r="GI18">
        <v>233.34</v>
      </c>
      <c r="HI18">
        <v>1</v>
      </c>
      <c r="HK18">
        <f t="shared" si="2"/>
        <v>56.320000000000007</v>
      </c>
      <c r="HL18" s="16">
        <f t="shared" si="3"/>
        <v>1.6221198156682031</v>
      </c>
      <c r="HM18">
        <f t="shared" si="4"/>
        <v>141.82</v>
      </c>
      <c r="HN18" s="16">
        <f t="shared" si="5"/>
        <v>2.0880447585394579</v>
      </c>
      <c r="HO18" s="26">
        <f t="shared" si="6"/>
        <v>85.499999999999986</v>
      </c>
      <c r="HQ18" s="16"/>
      <c r="HS18">
        <f t="shared" si="8"/>
        <v>0.89999999999999947</v>
      </c>
      <c r="HT18" s="28">
        <f t="shared" si="9"/>
        <v>12.328767123287664</v>
      </c>
      <c r="HU18">
        <f t="shared" si="10"/>
        <v>-1.5999999999999996</v>
      </c>
      <c r="HV18" s="28">
        <f t="shared" si="11"/>
        <v>-17.777777777777771</v>
      </c>
    </row>
    <row r="19" spans="1:230" x14ac:dyDescent="0.35">
      <c r="A19" s="21" t="s">
        <v>305</v>
      </c>
      <c r="B19" s="21" t="s">
        <v>306</v>
      </c>
      <c r="C19" s="22">
        <v>18628</v>
      </c>
      <c r="D19" s="21">
        <v>72</v>
      </c>
      <c r="E19" s="21">
        <v>71.5</v>
      </c>
      <c r="F19" s="21">
        <v>179</v>
      </c>
      <c r="G19">
        <f t="shared" si="0"/>
        <v>1.79</v>
      </c>
      <c r="H19">
        <f t="shared" si="1"/>
        <v>22.315158702911894</v>
      </c>
      <c r="I19" s="21">
        <v>0</v>
      </c>
      <c r="J19" s="21">
        <v>1</v>
      </c>
      <c r="K19" s="21">
        <v>1</v>
      </c>
      <c r="L19" s="21">
        <v>0</v>
      </c>
      <c r="M19" s="21">
        <v>1</v>
      </c>
      <c r="N19" s="21">
        <v>1</v>
      </c>
      <c r="O19" s="21">
        <v>0</v>
      </c>
      <c r="P19" s="21">
        <v>1</v>
      </c>
      <c r="Q19" s="21">
        <v>0</v>
      </c>
      <c r="R19" s="21">
        <v>1</v>
      </c>
      <c r="S19" s="21">
        <v>0</v>
      </c>
      <c r="T19" s="21">
        <v>1</v>
      </c>
      <c r="U19" s="21">
        <v>1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 t="s">
        <v>144</v>
      </c>
      <c r="AG19" s="21"/>
      <c r="AH19" s="21"/>
      <c r="AI19" s="21"/>
      <c r="AJ19" s="21"/>
      <c r="AK19" s="22">
        <v>45137</v>
      </c>
      <c r="AL19" s="21" t="s">
        <v>307</v>
      </c>
      <c r="AM19" s="21"/>
      <c r="AN19" s="21">
        <v>1</v>
      </c>
      <c r="AO19" s="21">
        <v>0</v>
      </c>
      <c r="AP19" s="21">
        <v>0</v>
      </c>
      <c r="AQ19" s="21">
        <v>0</v>
      </c>
      <c r="AR19" s="21">
        <v>0</v>
      </c>
      <c r="AS19" s="21"/>
      <c r="AT19" s="21">
        <v>1</v>
      </c>
      <c r="AU19" s="21">
        <v>0</v>
      </c>
      <c r="AV19" s="21">
        <v>1</v>
      </c>
      <c r="AW19" s="21">
        <v>0</v>
      </c>
      <c r="AX19" s="21">
        <v>0</v>
      </c>
      <c r="AY19" s="21">
        <v>0</v>
      </c>
      <c r="AZ19" s="21">
        <v>0</v>
      </c>
      <c r="BA19" s="21">
        <v>14</v>
      </c>
      <c r="BB19" s="21">
        <v>10.199999999999999</v>
      </c>
      <c r="BC19" s="21">
        <v>213</v>
      </c>
      <c r="BD19" s="21">
        <v>63</v>
      </c>
      <c r="BE19" s="21">
        <v>15.5</v>
      </c>
      <c r="BF19" s="21">
        <v>63</v>
      </c>
      <c r="BG19" s="21">
        <v>142</v>
      </c>
      <c r="BH19" s="21">
        <v>109</v>
      </c>
      <c r="BI19" s="21">
        <v>6</v>
      </c>
      <c r="BJ19" s="21" t="s">
        <v>144</v>
      </c>
      <c r="BK19" s="21" t="s">
        <v>144</v>
      </c>
      <c r="BL19" s="21" t="s">
        <v>144</v>
      </c>
      <c r="BM19" s="21">
        <v>7.34</v>
      </c>
      <c r="BN19" s="21">
        <v>115</v>
      </c>
      <c r="BO19" s="21">
        <v>44</v>
      </c>
      <c r="BP19" s="21">
        <v>24</v>
      </c>
      <c r="BQ19" s="21">
        <v>2</v>
      </c>
      <c r="BR19" s="21">
        <v>90</v>
      </c>
      <c r="BS19" s="21" t="s">
        <v>144</v>
      </c>
      <c r="BT19" s="21">
        <v>19</v>
      </c>
      <c r="BU19" s="21">
        <v>14</v>
      </c>
      <c r="BV19" s="21">
        <v>337</v>
      </c>
      <c r="BW19" s="21">
        <v>92</v>
      </c>
      <c r="BX19" s="22">
        <v>45139</v>
      </c>
      <c r="BY19" s="21">
        <v>36</v>
      </c>
      <c r="BZ19" s="21">
        <v>71.5</v>
      </c>
      <c r="CA19" s="21">
        <v>2</v>
      </c>
      <c r="CB19" s="21">
        <v>0</v>
      </c>
      <c r="CC19" s="21">
        <v>0</v>
      </c>
      <c r="CD19" s="21">
        <v>1</v>
      </c>
      <c r="CE19" s="21">
        <v>1</v>
      </c>
      <c r="CF19" s="21">
        <v>0</v>
      </c>
      <c r="CG19" s="21">
        <v>0</v>
      </c>
      <c r="CH19" s="21">
        <v>7.17</v>
      </c>
      <c r="CI19" s="21">
        <v>8.1999999999999993</v>
      </c>
      <c r="CJ19" s="21">
        <v>201</v>
      </c>
      <c r="CK19" s="21">
        <v>57</v>
      </c>
      <c r="CL19" s="21">
        <v>12.9</v>
      </c>
      <c r="CM19" s="21">
        <v>130</v>
      </c>
      <c r="CN19" s="21">
        <v>137</v>
      </c>
      <c r="CO19" s="21">
        <v>101</v>
      </c>
      <c r="CP19" s="21">
        <v>5</v>
      </c>
      <c r="CQ19" s="21">
        <v>88</v>
      </c>
      <c r="CR19" s="21">
        <v>1.37</v>
      </c>
      <c r="CS19" s="21" t="s">
        <v>282</v>
      </c>
      <c r="CT19" s="21" t="s">
        <v>144</v>
      </c>
      <c r="CU19" s="21" t="s">
        <v>144</v>
      </c>
      <c r="CV19" s="21" t="s">
        <v>144</v>
      </c>
      <c r="CW19" s="21" t="s">
        <v>144</v>
      </c>
      <c r="CX19" s="21" t="s">
        <v>144</v>
      </c>
      <c r="CY19" s="21" t="s">
        <v>144</v>
      </c>
      <c r="CZ19" s="21" t="s">
        <v>144</v>
      </c>
      <c r="DA19" s="21">
        <v>16</v>
      </c>
      <c r="DB19" s="21">
        <v>17</v>
      </c>
      <c r="DC19" s="21">
        <v>355</v>
      </c>
      <c r="DD19" s="21">
        <v>72</v>
      </c>
      <c r="DE19" s="21">
        <v>1</v>
      </c>
      <c r="DF19" s="21">
        <v>2</v>
      </c>
      <c r="DG19" s="21">
        <v>100</v>
      </c>
      <c r="DH19" s="21"/>
      <c r="DI19" s="21">
        <v>0</v>
      </c>
      <c r="DJ19" s="21">
        <v>0</v>
      </c>
      <c r="DK19" s="21"/>
      <c r="DL19" s="21">
        <v>0</v>
      </c>
      <c r="DM19" s="21">
        <v>0</v>
      </c>
      <c r="DN19" s="21">
        <v>0</v>
      </c>
      <c r="DO19" s="21">
        <v>200</v>
      </c>
      <c r="DP19" s="21">
        <v>10</v>
      </c>
      <c r="DQ19" s="21">
        <v>0</v>
      </c>
      <c r="DR19" s="21">
        <v>0</v>
      </c>
      <c r="DS19" s="21">
        <v>100</v>
      </c>
      <c r="DT19" s="21">
        <v>61</v>
      </c>
      <c r="DU19" s="21">
        <v>76</v>
      </c>
      <c r="DV19" s="21">
        <v>110</v>
      </c>
      <c r="DW19" s="21">
        <v>38.799999999999997</v>
      </c>
      <c r="DX19" s="21">
        <v>0</v>
      </c>
      <c r="DY19" s="21">
        <v>0</v>
      </c>
      <c r="DZ19" s="21">
        <v>1</v>
      </c>
      <c r="EA19" s="21">
        <v>8</v>
      </c>
      <c r="EB19" s="21">
        <v>50</v>
      </c>
      <c r="EC19" s="21">
        <v>60</v>
      </c>
      <c r="ED19" s="21">
        <v>3.8</v>
      </c>
      <c r="EE19" s="21">
        <v>40</v>
      </c>
      <c r="EF19" s="21">
        <v>20</v>
      </c>
      <c r="EG19" s="21">
        <v>0</v>
      </c>
      <c r="EH19" s="21">
        <v>0</v>
      </c>
      <c r="EI19" s="21">
        <v>0</v>
      </c>
      <c r="EJ19" s="21">
        <v>1.4</v>
      </c>
      <c r="EK19" s="21">
        <v>6</v>
      </c>
      <c r="EL19" s="21" t="s">
        <v>144</v>
      </c>
      <c r="EM19" s="21" t="s">
        <v>144</v>
      </c>
      <c r="EN19" s="21" t="s">
        <v>144</v>
      </c>
      <c r="EO19" s="21">
        <v>0</v>
      </c>
      <c r="EP19" s="21">
        <v>1.9</v>
      </c>
      <c r="EQ19" s="21">
        <v>238.68</v>
      </c>
      <c r="ER19" s="21">
        <v>60.9</v>
      </c>
      <c r="ES19" s="21">
        <v>123</v>
      </c>
      <c r="ET19" s="21">
        <v>505</v>
      </c>
      <c r="EU19" s="21">
        <v>122</v>
      </c>
      <c r="EV19" s="21">
        <v>74</v>
      </c>
      <c r="EW19" s="21">
        <v>88</v>
      </c>
      <c r="EX19" s="21">
        <v>111</v>
      </c>
      <c r="EY19" s="21">
        <v>3.5</v>
      </c>
      <c r="EZ19" s="21" t="s">
        <v>144</v>
      </c>
      <c r="FA19" s="21">
        <v>0</v>
      </c>
      <c r="FB19" s="21">
        <v>1.8</v>
      </c>
      <c r="FC19" s="21">
        <v>258.70999999999998</v>
      </c>
      <c r="FD19" s="21"/>
      <c r="FE19" s="21"/>
      <c r="FF19" s="21"/>
      <c r="FG19" s="21">
        <v>121</v>
      </c>
      <c r="FH19" s="21">
        <v>71</v>
      </c>
      <c r="FI19" s="21">
        <v>87</v>
      </c>
      <c r="FJ19" s="21">
        <v>112</v>
      </c>
      <c r="FK19" s="21">
        <v>3.2</v>
      </c>
      <c r="FL19" s="21" t="s">
        <v>144</v>
      </c>
      <c r="FM19" s="21">
        <v>0</v>
      </c>
      <c r="FN19" s="21">
        <v>1.8</v>
      </c>
      <c r="FO19" s="21">
        <v>166.69</v>
      </c>
      <c r="FP19" s="21"/>
      <c r="FQ19" s="21"/>
      <c r="FR19" s="21"/>
      <c r="FS19" s="21">
        <v>115</v>
      </c>
      <c r="FT19" s="21">
        <v>70</v>
      </c>
      <c r="FU19" s="21">
        <v>84</v>
      </c>
      <c r="FV19" s="21">
        <v>111</v>
      </c>
      <c r="FW19" s="21">
        <v>3.5</v>
      </c>
      <c r="FX19" s="21">
        <v>40</v>
      </c>
      <c r="FY19" s="21">
        <v>1.2</v>
      </c>
      <c r="FZ19" s="21" t="s">
        <v>144</v>
      </c>
      <c r="GA19" s="21">
        <v>19</v>
      </c>
      <c r="GB19" s="21">
        <v>0</v>
      </c>
      <c r="GC19" s="21" t="s">
        <v>144</v>
      </c>
      <c r="GD19" s="21">
        <v>0</v>
      </c>
      <c r="GE19" s="21">
        <v>1.6</v>
      </c>
      <c r="GF19" s="21">
        <v>408.49</v>
      </c>
      <c r="GG19" s="21"/>
      <c r="GH19" s="21"/>
      <c r="GI19" s="21"/>
      <c r="GJ19" s="21">
        <v>120</v>
      </c>
      <c r="GK19" s="21">
        <v>70</v>
      </c>
      <c r="GL19" s="21">
        <v>85</v>
      </c>
      <c r="GM19" s="21">
        <v>110</v>
      </c>
      <c r="GN19" s="21">
        <v>3.4</v>
      </c>
      <c r="GO19" s="21" t="s">
        <v>144</v>
      </c>
      <c r="GP19" s="21">
        <v>0</v>
      </c>
      <c r="GQ19" s="21">
        <v>1.55</v>
      </c>
      <c r="GR19" s="21">
        <v>403.44</v>
      </c>
      <c r="GS19" s="21"/>
      <c r="GT19" s="21"/>
      <c r="GU19" s="21"/>
      <c r="GV19" s="21">
        <v>114</v>
      </c>
      <c r="GW19" s="21">
        <v>67</v>
      </c>
      <c r="GX19" s="21">
        <v>82</v>
      </c>
      <c r="GY19" s="21">
        <v>110</v>
      </c>
      <c r="GZ19" s="21">
        <v>3.5</v>
      </c>
      <c r="HA19" s="21" t="s">
        <v>144</v>
      </c>
      <c r="HB19" s="21">
        <v>0</v>
      </c>
      <c r="HC19" s="21">
        <v>0.9</v>
      </c>
      <c r="HD19" s="21">
        <v>380.1</v>
      </c>
      <c r="HE19" s="21"/>
      <c r="HF19" s="21"/>
      <c r="HG19" s="21"/>
      <c r="HH19" s="21"/>
      <c r="HI19" s="21"/>
      <c r="HJ19" s="21"/>
      <c r="HK19" s="21">
        <f t="shared" si="2"/>
        <v>20.029999999999973</v>
      </c>
      <c r="HL19" s="23">
        <f t="shared" si="3"/>
        <v>8.3919892743422042E-2</v>
      </c>
      <c r="HM19" s="21">
        <f t="shared" si="4"/>
        <v>241.8</v>
      </c>
      <c r="HN19" s="23">
        <f t="shared" si="5"/>
        <v>1.4505969164316996</v>
      </c>
      <c r="HO19" s="26">
        <f t="shared" si="6"/>
        <v>221.77000000000004</v>
      </c>
      <c r="HP19">
        <f>HD19-FO19</f>
        <v>213.41000000000003</v>
      </c>
      <c r="HQ19" s="23">
        <f>HP19/FO19</f>
        <v>1.2802807606935032</v>
      </c>
      <c r="HR19" s="21">
        <f>HD19-GF19</f>
        <v>-28.389999999999986</v>
      </c>
      <c r="HS19">
        <f t="shared" si="8"/>
        <v>-0.29999999999999982</v>
      </c>
      <c r="HT19" s="28">
        <f t="shared" si="9"/>
        <v>-7.8947368421052584</v>
      </c>
      <c r="HU19">
        <f t="shared" si="10"/>
        <v>0.29999999999999982</v>
      </c>
      <c r="HV19" s="28">
        <f t="shared" si="11"/>
        <v>9.3749999999999947</v>
      </c>
    </row>
    <row r="20" spans="1:230" x14ac:dyDescent="0.35">
      <c r="A20" s="21" t="s">
        <v>319</v>
      </c>
      <c r="B20" s="21" t="s">
        <v>320</v>
      </c>
      <c r="C20" s="22">
        <v>24869</v>
      </c>
      <c r="D20" s="21">
        <v>55</v>
      </c>
      <c r="E20" s="21">
        <v>47.5</v>
      </c>
      <c r="F20" s="21">
        <v>172</v>
      </c>
      <c r="G20">
        <f t="shared" si="0"/>
        <v>1.72</v>
      </c>
      <c r="H20">
        <f t="shared" si="1"/>
        <v>16.055976203353165</v>
      </c>
      <c r="I20" s="21">
        <v>0</v>
      </c>
      <c r="J20" s="21">
        <v>1</v>
      </c>
      <c r="K20" s="21">
        <v>1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1</v>
      </c>
      <c r="AD20" s="21">
        <v>0</v>
      </c>
      <c r="AE20" s="21">
        <v>0</v>
      </c>
      <c r="AF20" s="21" t="s">
        <v>144</v>
      </c>
      <c r="AG20" s="21"/>
      <c r="AH20" s="21"/>
      <c r="AI20" s="21"/>
      <c r="AJ20" s="21"/>
      <c r="AK20" s="22">
        <v>45134</v>
      </c>
      <c r="AL20" s="21" t="s">
        <v>321</v>
      </c>
      <c r="AM20" s="21"/>
      <c r="AN20" s="21">
        <v>1</v>
      </c>
      <c r="AO20" s="21">
        <v>1</v>
      </c>
      <c r="AP20" s="21">
        <v>0</v>
      </c>
      <c r="AQ20" s="21">
        <v>0</v>
      </c>
      <c r="AR20" s="21">
        <v>0</v>
      </c>
      <c r="AS20" s="21"/>
      <c r="AT20" s="21">
        <v>10</v>
      </c>
      <c r="AU20" s="21">
        <v>4</v>
      </c>
      <c r="AV20" s="21">
        <v>1</v>
      </c>
      <c r="AW20" s="21">
        <v>4</v>
      </c>
      <c r="AX20" s="21">
        <v>0</v>
      </c>
      <c r="AY20" s="21">
        <v>1</v>
      </c>
      <c r="AZ20" s="21">
        <v>0</v>
      </c>
      <c r="BA20" s="21">
        <v>14</v>
      </c>
      <c r="BB20" s="21">
        <v>13</v>
      </c>
      <c r="BC20" s="21">
        <v>170</v>
      </c>
      <c r="BD20" s="21">
        <v>94</v>
      </c>
      <c r="BE20" s="21">
        <v>3</v>
      </c>
      <c r="BF20" s="21">
        <v>51</v>
      </c>
      <c r="BG20" s="21">
        <v>136</v>
      </c>
      <c r="BH20" s="21">
        <v>106</v>
      </c>
      <c r="BI20" s="21">
        <v>24</v>
      </c>
      <c r="BJ20" s="21">
        <v>48</v>
      </c>
      <c r="BK20" s="21">
        <v>0.56000000000000005</v>
      </c>
      <c r="BL20" s="21">
        <v>21</v>
      </c>
      <c r="BM20" s="21">
        <v>7.29</v>
      </c>
      <c r="BN20" s="21">
        <v>307</v>
      </c>
      <c r="BO20" s="21">
        <v>46</v>
      </c>
      <c r="BP20" s="21">
        <v>22</v>
      </c>
      <c r="BQ20" s="21">
        <v>1.6</v>
      </c>
      <c r="BR20" s="21">
        <v>59</v>
      </c>
      <c r="BS20" s="21">
        <v>92</v>
      </c>
      <c r="BT20" s="21">
        <v>93</v>
      </c>
      <c r="BU20" s="21">
        <v>15</v>
      </c>
      <c r="BV20" s="21">
        <v>529</v>
      </c>
      <c r="BW20" s="21">
        <v>593</v>
      </c>
      <c r="BX20" s="22">
        <v>45138</v>
      </c>
      <c r="BY20" s="21"/>
      <c r="BZ20" s="21">
        <v>52</v>
      </c>
      <c r="CA20" s="21">
        <v>7</v>
      </c>
      <c r="CB20" s="21">
        <v>3</v>
      </c>
      <c r="CC20" s="21">
        <v>3</v>
      </c>
      <c r="CD20" s="21">
        <v>0</v>
      </c>
      <c r="CE20" s="21">
        <v>0</v>
      </c>
      <c r="CF20" s="21">
        <v>0</v>
      </c>
      <c r="CG20" s="21">
        <v>1</v>
      </c>
      <c r="CH20" s="21">
        <v>5.9</v>
      </c>
      <c r="CI20" s="21">
        <v>10.8</v>
      </c>
      <c r="CJ20" s="21">
        <v>111</v>
      </c>
      <c r="CK20" s="21">
        <v>83</v>
      </c>
      <c r="CL20" s="21">
        <v>8.4</v>
      </c>
      <c r="CM20" s="21">
        <v>83</v>
      </c>
      <c r="CN20" s="21">
        <v>143</v>
      </c>
      <c r="CO20" s="21">
        <v>110</v>
      </c>
      <c r="CP20" s="21">
        <v>15</v>
      </c>
      <c r="CQ20" s="21" t="s">
        <v>144</v>
      </c>
      <c r="CR20" s="21" t="s">
        <v>144</v>
      </c>
      <c r="CS20" s="21" t="s">
        <v>144</v>
      </c>
      <c r="CT20" s="21">
        <v>7.4</v>
      </c>
      <c r="CU20" s="21">
        <v>73</v>
      </c>
      <c r="CV20" s="21">
        <v>42</v>
      </c>
      <c r="CW20" s="21">
        <v>30</v>
      </c>
      <c r="CX20" s="21">
        <v>1.5</v>
      </c>
      <c r="CY20" s="21">
        <v>66</v>
      </c>
      <c r="CZ20" s="21" t="s">
        <v>144</v>
      </c>
      <c r="DA20" s="21">
        <v>93</v>
      </c>
      <c r="DB20" s="21">
        <v>25</v>
      </c>
      <c r="DC20" s="21">
        <v>533</v>
      </c>
      <c r="DD20" s="21">
        <v>223</v>
      </c>
      <c r="DE20" s="21">
        <v>1</v>
      </c>
      <c r="DF20" s="21">
        <v>1</v>
      </c>
      <c r="DG20" s="21">
        <v>500</v>
      </c>
      <c r="DH20" s="21"/>
      <c r="DI20" s="21">
        <v>0</v>
      </c>
      <c r="DJ20" s="21">
        <v>0</v>
      </c>
      <c r="DK20" s="21">
        <v>0.05</v>
      </c>
      <c r="DL20" s="21">
        <v>1</v>
      </c>
      <c r="DM20" s="21">
        <v>0</v>
      </c>
      <c r="DN20" s="21">
        <v>0</v>
      </c>
      <c r="DO20" s="21">
        <v>0</v>
      </c>
      <c r="DP20" s="21">
        <v>0</v>
      </c>
      <c r="DQ20" s="21">
        <v>0</v>
      </c>
      <c r="DR20" s="21">
        <v>0</v>
      </c>
      <c r="DS20" s="21">
        <v>115</v>
      </c>
      <c r="DT20" s="21">
        <v>76</v>
      </c>
      <c r="DU20" s="21">
        <v>90</v>
      </c>
      <c r="DV20" s="21">
        <v>106</v>
      </c>
      <c r="DW20" s="21">
        <v>36.4</v>
      </c>
      <c r="DX20" s="21">
        <v>0</v>
      </c>
      <c r="DY20" s="21">
        <v>1</v>
      </c>
      <c r="DZ20" s="21">
        <v>0</v>
      </c>
      <c r="EA20" s="21">
        <v>6</v>
      </c>
      <c r="EB20" s="21">
        <v>60</v>
      </c>
      <c r="EC20" s="21">
        <v>60</v>
      </c>
      <c r="ED20" s="21">
        <v>3.5</v>
      </c>
      <c r="EE20" s="21">
        <v>30</v>
      </c>
      <c r="EF20" s="21">
        <v>15</v>
      </c>
      <c r="EG20" s="21">
        <v>50</v>
      </c>
      <c r="EH20" s="21">
        <v>0</v>
      </c>
      <c r="EI20" s="21">
        <v>0</v>
      </c>
      <c r="EJ20" s="21">
        <v>0.8</v>
      </c>
      <c r="EK20" s="21">
        <v>5</v>
      </c>
      <c r="EL20" s="21" t="s">
        <v>144</v>
      </c>
      <c r="EM20" s="21" t="s">
        <v>144</v>
      </c>
      <c r="EN20" s="21" t="s">
        <v>144</v>
      </c>
      <c r="EO20" s="21" t="s">
        <v>144</v>
      </c>
      <c r="EP20" s="21">
        <v>0.8</v>
      </c>
      <c r="EQ20" s="21">
        <v>598.20000000000005</v>
      </c>
      <c r="ER20" s="21"/>
      <c r="ES20" s="21"/>
      <c r="ET20" s="21"/>
      <c r="EU20" s="21">
        <v>110</v>
      </c>
      <c r="EV20" s="21">
        <v>70</v>
      </c>
      <c r="EW20" s="21">
        <v>89</v>
      </c>
      <c r="EX20" s="21">
        <v>107</v>
      </c>
      <c r="EY20" s="21">
        <v>4.2</v>
      </c>
      <c r="EZ20" s="21" t="s">
        <v>144</v>
      </c>
      <c r="FA20" s="21" t="s">
        <v>144</v>
      </c>
      <c r="FB20" s="21">
        <v>0.7</v>
      </c>
      <c r="FC20" s="21">
        <v>624</v>
      </c>
      <c r="FD20" s="21"/>
      <c r="FE20" s="21"/>
      <c r="FF20" s="21"/>
      <c r="FG20" s="21">
        <v>112</v>
      </c>
      <c r="FH20" s="21">
        <v>72</v>
      </c>
      <c r="FI20" s="21">
        <v>88</v>
      </c>
      <c r="FJ20" s="21">
        <v>107</v>
      </c>
      <c r="FK20" s="21">
        <v>3.4</v>
      </c>
      <c r="FL20" s="21" t="s">
        <v>144</v>
      </c>
      <c r="FM20" s="21" t="s">
        <v>144</v>
      </c>
      <c r="FN20" s="21">
        <v>0.9</v>
      </c>
      <c r="FO20" s="21">
        <v>417.6</v>
      </c>
      <c r="FP20" s="21"/>
      <c r="FQ20" s="21"/>
      <c r="FR20" s="21"/>
      <c r="FS20" s="21">
        <v>117</v>
      </c>
      <c r="FT20" s="21">
        <v>79</v>
      </c>
      <c r="FU20" s="21">
        <v>97</v>
      </c>
      <c r="FV20" s="21">
        <v>110</v>
      </c>
      <c r="FW20" s="21">
        <v>3.5</v>
      </c>
      <c r="FX20" s="21"/>
      <c r="FY20" s="21"/>
      <c r="FZ20" s="21"/>
      <c r="GA20" s="21"/>
      <c r="GB20" s="21"/>
      <c r="GC20" s="21"/>
      <c r="GD20" s="21"/>
      <c r="GE20" s="21">
        <v>0.8</v>
      </c>
      <c r="GF20" s="21">
        <v>724.35</v>
      </c>
      <c r="GG20" s="21"/>
      <c r="GH20" s="21"/>
      <c r="GI20" s="21"/>
      <c r="GJ20" s="21">
        <v>115</v>
      </c>
      <c r="GK20" s="21">
        <v>74</v>
      </c>
      <c r="GL20" s="21">
        <v>91</v>
      </c>
      <c r="GM20" s="21">
        <v>110</v>
      </c>
      <c r="GN20" s="21">
        <v>3.5</v>
      </c>
      <c r="GO20" s="21"/>
      <c r="GP20" s="21"/>
      <c r="GQ20" s="21">
        <v>0.7</v>
      </c>
      <c r="GR20" s="21">
        <v>712.41</v>
      </c>
      <c r="GS20" s="21"/>
      <c r="GT20" s="21"/>
      <c r="GU20" s="21"/>
      <c r="GV20" s="21">
        <v>116</v>
      </c>
      <c r="GW20" s="21">
        <v>75</v>
      </c>
      <c r="GX20" s="21">
        <v>91</v>
      </c>
      <c r="GY20" s="21">
        <v>109</v>
      </c>
      <c r="GZ20" s="21">
        <v>3.5</v>
      </c>
      <c r="HA20" s="21" t="s">
        <v>144</v>
      </c>
      <c r="HB20" s="21" t="s">
        <v>144</v>
      </c>
      <c r="HC20" s="21">
        <v>0.7</v>
      </c>
      <c r="HD20" s="21">
        <v>742.18</v>
      </c>
      <c r="HE20" s="21"/>
      <c r="HF20" s="21"/>
      <c r="HG20" s="21"/>
      <c r="HH20" s="21"/>
      <c r="HI20" s="21"/>
      <c r="HJ20" s="21"/>
      <c r="HK20" s="21">
        <f t="shared" si="2"/>
        <v>25.799999999999955</v>
      </c>
      <c r="HL20" s="23">
        <f t="shared" si="3"/>
        <v>4.3129388164493403E-2</v>
      </c>
      <c r="HM20" s="21">
        <f t="shared" si="4"/>
        <v>306.75</v>
      </c>
      <c r="HN20" s="23">
        <f t="shared" si="5"/>
        <v>0.73455459770114939</v>
      </c>
      <c r="HO20" s="27">
        <f t="shared" si="6"/>
        <v>280.95000000000005</v>
      </c>
      <c r="HP20" s="21">
        <f>HD20-FO20</f>
        <v>324.57999999999993</v>
      </c>
      <c r="HQ20" s="23">
        <f>HP20/FO20</f>
        <v>0.7772509578544059</v>
      </c>
      <c r="HR20" s="21">
        <f>HD20-GF20</f>
        <v>17.829999999999927</v>
      </c>
      <c r="HS20">
        <f t="shared" si="8"/>
        <v>0.70000000000000018</v>
      </c>
      <c r="HT20" s="28">
        <f t="shared" si="9"/>
        <v>20.000000000000004</v>
      </c>
      <c r="HU20">
        <f t="shared" si="10"/>
        <v>0.10000000000000009</v>
      </c>
      <c r="HV20" s="28">
        <f t="shared" si="11"/>
        <v>2.9411764705882382</v>
      </c>
    </row>
    <row r="21" spans="1:230" x14ac:dyDescent="0.35">
      <c r="A21" t="s">
        <v>365</v>
      </c>
      <c r="B21" t="s">
        <v>366</v>
      </c>
      <c r="C21" s="3">
        <v>27646</v>
      </c>
      <c r="D21">
        <v>48</v>
      </c>
      <c r="E21">
        <v>75</v>
      </c>
      <c r="F21">
        <v>175</v>
      </c>
      <c r="G21">
        <f t="shared" si="0"/>
        <v>1.75</v>
      </c>
      <c r="H21">
        <f t="shared" si="1"/>
        <v>24.489795918367346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K21" s="3">
        <v>45210</v>
      </c>
      <c r="AL21" t="s">
        <v>39</v>
      </c>
      <c r="AN21">
        <v>0</v>
      </c>
      <c r="AO21">
        <v>0</v>
      </c>
      <c r="AP21">
        <v>1</v>
      </c>
      <c r="AQ21">
        <v>0</v>
      </c>
      <c r="AR21">
        <v>0</v>
      </c>
      <c r="AT21">
        <v>10</v>
      </c>
      <c r="AU21">
        <v>4</v>
      </c>
      <c r="AV21">
        <v>0</v>
      </c>
      <c r="AW21">
        <v>0</v>
      </c>
      <c r="AX21">
        <v>0</v>
      </c>
      <c r="AY21">
        <v>3</v>
      </c>
      <c r="AZ21">
        <v>3</v>
      </c>
      <c r="BA21">
        <v>9.9</v>
      </c>
      <c r="BB21">
        <v>6.2</v>
      </c>
      <c r="BC21">
        <v>50</v>
      </c>
      <c r="BD21">
        <v>47</v>
      </c>
      <c r="BE21">
        <v>5.8</v>
      </c>
      <c r="BF21">
        <v>71</v>
      </c>
      <c r="BG21">
        <v>138</v>
      </c>
      <c r="BH21">
        <v>106</v>
      </c>
      <c r="BI21">
        <v>190</v>
      </c>
      <c r="BM21">
        <v>7.41</v>
      </c>
      <c r="BN21">
        <v>84</v>
      </c>
      <c r="BO21">
        <v>34</v>
      </c>
      <c r="BP21">
        <v>22</v>
      </c>
      <c r="BQ21">
        <v>3.3</v>
      </c>
      <c r="BR21">
        <v>33</v>
      </c>
      <c r="BS21">
        <v>36</v>
      </c>
      <c r="BT21">
        <v>153</v>
      </c>
      <c r="BU21">
        <v>28</v>
      </c>
      <c r="BV21">
        <v>409</v>
      </c>
      <c r="BX21" s="3">
        <v>45211</v>
      </c>
      <c r="BY21">
        <v>22</v>
      </c>
      <c r="BZ21">
        <v>75</v>
      </c>
      <c r="CB21">
        <v>4</v>
      </c>
      <c r="CC21">
        <v>0</v>
      </c>
      <c r="CD21">
        <v>0</v>
      </c>
      <c r="CE21">
        <v>0</v>
      </c>
      <c r="CF21">
        <v>4</v>
      </c>
      <c r="CG21">
        <v>2</v>
      </c>
      <c r="CH21">
        <v>9.5</v>
      </c>
      <c r="CI21">
        <v>8.1999999999999993</v>
      </c>
      <c r="CJ21">
        <v>69</v>
      </c>
      <c r="CK21">
        <v>47</v>
      </c>
      <c r="CL21">
        <v>5.8</v>
      </c>
      <c r="CM21">
        <v>71</v>
      </c>
      <c r="CN21">
        <v>138</v>
      </c>
      <c r="CO21">
        <v>106</v>
      </c>
      <c r="CP21">
        <v>250</v>
      </c>
      <c r="CT21">
        <v>7.48</v>
      </c>
      <c r="CU21">
        <v>69</v>
      </c>
      <c r="CV21">
        <v>33</v>
      </c>
      <c r="CW21">
        <v>25</v>
      </c>
      <c r="CX21">
        <v>4.0999999999999996</v>
      </c>
      <c r="CY21">
        <v>35</v>
      </c>
      <c r="CZ21">
        <v>38</v>
      </c>
      <c r="DA21">
        <v>147</v>
      </c>
      <c r="DB21">
        <v>30</v>
      </c>
      <c r="DC21">
        <v>443</v>
      </c>
      <c r="DD21">
        <v>45</v>
      </c>
      <c r="DE21">
        <v>1</v>
      </c>
      <c r="DF21">
        <v>2</v>
      </c>
      <c r="DG21">
        <v>100</v>
      </c>
      <c r="DH21">
        <v>500</v>
      </c>
      <c r="DI21">
        <v>1</v>
      </c>
      <c r="DJ21">
        <v>200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105</v>
      </c>
      <c r="DT21">
        <v>51</v>
      </c>
      <c r="DU21">
        <v>70</v>
      </c>
      <c r="DV21">
        <v>107</v>
      </c>
      <c r="DW21">
        <v>38.1</v>
      </c>
      <c r="DX21">
        <v>1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8</v>
      </c>
      <c r="EE21">
        <v>50</v>
      </c>
      <c r="EF21" t="s">
        <v>144</v>
      </c>
      <c r="EG21" t="s">
        <v>144</v>
      </c>
      <c r="EH21" t="s">
        <v>144</v>
      </c>
      <c r="EI21" t="s">
        <v>144</v>
      </c>
      <c r="EJ21">
        <v>0.7</v>
      </c>
      <c r="EK21">
        <v>5.5</v>
      </c>
      <c r="EL21" t="s">
        <v>144</v>
      </c>
      <c r="EM21" t="s">
        <v>144</v>
      </c>
      <c r="EN21" t="s">
        <v>144</v>
      </c>
      <c r="EO21">
        <v>0</v>
      </c>
      <c r="EP21">
        <v>2.8</v>
      </c>
      <c r="EQ21">
        <v>107.34</v>
      </c>
      <c r="EU21">
        <v>108</v>
      </c>
      <c r="EV21">
        <v>51</v>
      </c>
      <c r="EW21">
        <v>71</v>
      </c>
      <c r="EX21">
        <v>104</v>
      </c>
      <c r="EY21">
        <v>7.9</v>
      </c>
      <c r="FB21">
        <v>2.9</v>
      </c>
      <c r="FC21">
        <v>187.21</v>
      </c>
      <c r="FG21">
        <v>166</v>
      </c>
      <c r="FH21">
        <v>53</v>
      </c>
      <c r="FI21">
        <v>71</v>
      </c>
      <c r="FJ21">
        <v>105</v>
      </c>
      <c r="FK21">
        <v>7.9</v>
      </c>
      <c r="FN21">
        <v>2.7</v>
      </c>
      <c r="FO21">
        <v>161.79</v>
      </c>
      <c r="FS21">
        <v>115</v>
      </c>
      <c r="FT21">
        <v>56</v>
      </c>
      <c r="FU21">
        <v>77</v>
      </c>
      <c r="FV21">
        <v>105</v>
      </c>
      <c r="FW21">
        <v>8.1</v>
      </c>
      <c r="FX21">
        <v>50</v>
      </c>
      <c r="GE21">
        <v>2.1</v>
      </c>
      <c r="GF21">
        <v>482.53</v>
      </c>
      <c r="GJ21">
        <v>99</v>
      </c>
      <c r="GK21">
        <v>50</v>
      </c>
      <c r="GL21">
        <v>67</v>
      </c>
      <c r="GM21">
        <v>107</v>
      </c>
      <c r="GV21">
        <v>99</v>
      </c>
      <c r="GW21">
        <v>50</v>
      </c>
      <c r="GX21">
        <v>67</v>
      </c>
      <c r="GY21">
        <v>107</v>
      </c>
      <c r="HC21">
        <v>1.9</v>
      </c>
      <c r="HD21">
        <v>360.73</v>
      </c>
      <c r="HK21">
        <f t="shared" si="2"/>
        <v>79.87</v>
      </c>
      <c r="HL21" s="16">
        <f t="shared" si="3"/>
        <v>0.74408421837152972</v>
      </c>
      <c r="HM21">
        <f t="shared" si="4"/>
        <v>320.74</v>
      </c>
      <c r="HN21" s="16">
        <f t="shared" si="5"/>
        <v>1.9824463811113173</v>
      </c>
      <c r="HO21" s="26">
        <f t="shared" si="6"/>
        <v>240.87</v>
      </c>
      <c r="HP21">
        <f>HD21-FO21</f>
        <v>198.94000000000003</v>
      </c>
      <c r="HS21">
        <f t="shared" si="8"/>
        <v>-9.9999999999999645E-2</v>
      </c>
      <c r="HT21" s="28">
        <f t="shared" si="9"/>
        <v>-1.2499999999999956</v>
      </c>
      <c r="HU21">
        <f t="shared" si="10"/>
        <v>0.19999999999999929</v>
      </c>
      <c r="HV21" s="28">
        <f t="shared" si="11"/>
        <v>2.531645569620244</v>
      </c>
    </row>
    <row r="22" spans="1:230" x14ac:dyDescent="0.35">
      <c r="A22" t="s">
        <v>309</v>
      </c>
      <c r="B22" t="s">
        <v>310</v>
      </c>
      <c r="C22" s="3">
        <v>29207</v>
      </c>
      <c r="D22">
        <v>43</v>
      </c>
      <c r="E22">
        <v>81</v>
      </c>
      <c r="F22">
        <v>160</v>
      </c>
      <c r="G22">
        <f t="shared" si="0"/>
        <v>1.6</v>
      </c>
      <c r="H22">
        <f t="shared" si="1"/>
        <v>31.640624999999993</v>
      </c>
      <c r="I22">
        <v>1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 t="s">
        <v>311</v>
      </c>
      <c r="AC22">
        <v>0</v>
      </c>
      <c r="AD22">
        <v>0</v>
      </c>
      <c r="AE22">
        <v>0</v>
      </c>
      <c r="AF22" t="s">
        <v>144</v>
      </c>
      <c r="AK22" s="3">
        <v>45134</v>
      </c>
      <c r="AL22" t="s">
        <v>297</v>
      </c>
      <c r="AN22">
        <v>1</v>
      </c>
      <c r="AO22">
        <v>1</v>
      </c>
      <c r="AP22">
        <v>0</v>
      </c>
      <c r="AQ22">
        <v>0</v>
      </c>
      <c r="AR22">
        <v>0</v>
      </c>
      <c r="AT22">
        <v>11</v>
      </c>
      <c r="AU22">
        <v>4</v>
      </c>
      <c r="AV22">
        <v>0</v>
      </c>
      <c r="AW22">
        <v>4</v>
      </c>
      <c r="AX22">
        <v>3</v>
      </c>
      <c r="AY22">
        <v>0</v>
      </c>
      <c r="AZ22">
        <v>0</v>
      </c>
      <c r="BA22">
        <v>10.15</v>
      </c>
      <c r="BB22">
        <v>9.1</v>
      </c>
      <c r="BC22">
        <v>191</v>
      </c>
      <c r="BD22">
        <v>45</v>
      </c>
      <c r="BE22">
        <v>32.700000000000003</v>
      </c>
      <c r="BF22">
        <v>387</v>
      </c>
      <c r="BG22">
        <v>132</v>
      </c>
      <c r="BH22">
        <v>104</v>
      </c>
      <c r="BI22">
        <v>7</v>
      </c>
      <c r="BJ22">
        <v>35</v>
      </c>
      <c r="BK22">
        <v>4</v>
      </c>
      <c r="BL22">
        <v>22.8</v>
      </c>
      <c r="BM22">
        <v>7.15</v>
      </c>
      <c r="BN22">
        <v>226</v>
      </c>
      <c r="BO22">
        <v>20</v>
      </c>
      <c r="BP22">
        <v>8</v>
      </c>
      <c r="BQ22">
        <v>1.9</v>
      </c>
      <c r="BR22">
        <v>70</v>
      </c>
      <c r="BS22">
        <v>181</v>
      </c>
      <c r="BT22">
        <v>25</v>
      </c>
      <c r="BU22">
        <v>52</v>
      </c>
      <c r="BV22">
        <v>1031</v>
      </c>
      <c r="BW22">
        <v>38</v>
      </c>
      <c r="BX22" s="3">
        <v>45139</v>
      </c>
      <c r="BZ22">
        <v>92</v>
      </c>
      <c r="CA22">
        <v>10</v>
      </c>
      <c r="CB22">
        <v>1</v>
      </c>
      <c r="CC22">
        <v>0</v>
      </c>
      <c r="CD22">
        <v>4</v>
      </c>
      <c r="CE22">
        <v>2</v>
      </c>
      <c r="CF22">
        <v>0</v>
      </c>
      <c r="CG22">
        <v>3</v>
      </c>
      <c r="CH22">
        <v>3.22</v>
      </c>
      <c r="CI22">
        <v>9.1</v>
      </c>
      <c r="CJ22">
        <v>37</v>
      </c>
      <c r="CK22">
        <v>94</v>
      </c>
      <c r="CL22">
        <v>21</v>
      </c>
      <c r="CM22">
        <v>237</v>
      </c>
      <c r="CN22">
        <v>138</v>
      </c>
      <c r="CO22">
        <v>112</v>
      </c>
      <c r="CP22">
        <v>7</v>
      </c>
      <c r="CQ22" t="s">
        <v>282</v>
      </c>
      <c r="CR22" t="s">
        <v>282</v>
      </c>
      <c r="CS22" t="s">
        <v>282</v>
      </c>
      <c r="CT22">
        <v>7.06</v>
      </c>
      <c r="CU22">
        <v>115</v>
      </c>
      <c r="CV22">
        <v>20</v>
      </c>
      <c r="CW22">
        <v>6</v>
      </c>
      <c r="CX22">
        <v>0.8</v>
      </c>
      <c r="CY22">
        <v>70</v>
      </c>
      <c r="CZ22">
        <v>181</v>
      </c>
      <c r="DA22">
        <v>47</v>
      </c>
      <c r="DB22">
        <v>48</v>
      </c>
      <c r="DC22">
        <v>2862</v>
      </c>
      <c r="DD22">
        <v>252</v>
      </c>
      <c r="DE22">
        <v>1</v>
      </c>
      <c r="DF22">
        <v>2</v>
      </c>
      <c r="DG22">
        <v>100</v>
      </c>
      <c r="DH22">
        <v>1500</v>
      </c>
      <c r="DI22">
        <v>1</v>
      </c>
      <c r="DJ22">
        <v>4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82</v>
      </c>
      <c r="DT22">
        <v>55</v>
      </c>
      <c r="DU22">
        <v>64</v>
      </c>
      <c r="DV22">
        <v>75</v>
      </c>
      <c r="DW22">
        <v>33.799999999999997</v>
      </c>
      <c r="DX22">
        <v>0</v>
      </c>
      <c r="DY22">
        <v>1</v>
      </c>
      <c r="DZ22">
        <v>0</v>
      </c>
      <c r="EA22">
        <v>6</v>
      </c>
      <c r="EB22">
        <v>25</v>
      </c>
      <c r="EC22">
        <v>60</v>
      </c>
      <c r="ED22">
        <v>5</v>
      </c>
      <c r="EE22">
        <v>50</v>
      </c>
      <c r="EF22">
        <v>13</v>
      </c>
      <c r="EG22">
        <v>100</v>
      </c>
      <c r="EH22">
        <v>0</v>
      </c>
      <c r="EI22">
        <v>0</v>
      </c>
      <c r="EJ22">
        <v>1.2</v>
      </c>
      <c r="EK22">
        <v>4.8</v>
      </c>
      <c r="EL22" t="s">
        <v>144</v>
      </c>
      <c r="EM22" t="s">
        <v>144</v>
      </c>
      <c r="EN22" t="s">
        <v>144</v>
      </c>
      <c r="EO22" t="s">
        <v>144</v>
      </c>
      <c r="EP22">
        <v>1.1000000000000001</v>
      </c>
      <c r="EQ22">
        <v>577.9</v>
      </c>
      <c r="ER22">
        <v>39.1</v>
      </c>
      <c r="ES22">
        <v>468.9</v>
      </c>
      <c r="ET22">
        <v>669.9</v>
      </c>
      <c r="EU22">
        <v>80</v>
      </c>
      <c r="EV22">
        <v>53</v>
      </c>
      <c r="EW22">
        <v>62</v>
      </c>
      <c r="EX22">
        <v>76</v>
      </c>
      <c r="EY22">
        <v>6.3</v>
      </c>
      <c r="EZ22" t="s">
        <v>144</v>
      </c>
      <c r="FA22" t="s">
        <v>144</v>
      </c>
      <c r="FB22">
        <v>0.8</v>
      </c>
      <c r="FC22">
        <v>670.3</v>
      </c>
      <c r="FG22">
        <v>83</v>
      </c>
      <c r="FH22">
        <v>49</v>
      </c>
      <c r="FI22">
        <v>60</v>
      </c>
      <c r="FJ22">
        <v>76</v>
      </c>
      <c r="FK22">
        <v>5.3</v>
      </c>
      <c r="FL22" t="s">
        <v>144</v>
      </c>
      <c r="FM22" t="s">
        <v>144</v>
      </c>
      <c r="FN22">
        <v>1.1000000000000001</v>
      </c>
      <c r="FO22">
        <v>589.5</v>
      </c>
      <c r="FS22">
        <v>81</v>
      </c>
      <c r="FT22">
        <v>53</v>
      </c>
      <c r="FU22">
        <v>62</v>
      </c>
      <c r="FV22">
        <v>75</v>
      </c>
      <c r="FW22">
        <v>6.3</v>
      </c>
      <c r="FX22">
        <v>50</v>
      </c>
      <c r="FY22">
        <v>1.2</v>
      </c>
      <c r="GA22">
        <v>15</v>
      </c>
      <c r="GB22">
        <v>50</v>
      </c>
      <c r="GC22" t="s">
        <v>144</v>
      </c>
      <c r="GD22" t="s">
        <v>144</v>
      </c>
      <c r="GE22">
        <v>0.4</v>
      </c>
      <c r="GF22">
        <v>930.87</v>
      </c>
      <c r="GJ22">
        <v>93</v>
      </c>
      <c r="GK22">
        <v>71</v>
      </c>
      <c r="GL22">
        <v>80</v>
      </c>
      <c r="GM22">
        <v>76</v>
      </c>
      <c r="GN22">
        <v>6</v>
      </c>
      <c r="GO22" t="s">
        <v>144</v>
      </c>
      <c r="GP22" t="s">
        <v>144</v>
      </c>
      <c r="GQ22">
        <v>0.6</v>
      </c>
      <c r="GR22">
        <v>995.82</v>
      </c>
      <c r="GV22">
        <v>92</v>
      </c>
      <c r="GW22">
        <v>62</v>
      </c>
      <c r="GX22">
        <v>73</v>
      </c>
      <c r="GY22">
        <v>78</v>
      </c>
      <c r="GZ22">
        <v>5.8</v>
      </c>
      <c r="HA22" t="s">
        <v>144</v>
      </c>
      <c r="HB22" t="s">
        <v>144</v>
      </c>
      <c r="HC22">
        <v>0.6</v>
      </c>
      <c r="HD22">
        <v>998.59</v>
      </c>
      <c r="HK22">
        <f t="shared" si="2"/>
        <v>92.399999999999977</v>
      </c>
      <c r="HL22" s="16">
        <f t="shared" si="3"/>
        <v>0.15988925419622768</v>
      </c>
      <c r="HM22">
        <f t="shared" si="4"/>
        <v>341.37</v>
      </c>
      <c r="HN22" s="16">
        <f t="shared" si="5"/>
        <v>0.57908396946564888</v>
      </c>
      <c r="HO22" s="26">
        <f t="shared" si="6"/>
        <v>248.97000000000003</v>
      </c>
      <c r="HP22">
        <f>HD22-FO22</f>
        <v>409.09000000000003</v>
      </c>
      <c r="HQ22" s="16">
        <f>HP22/FO22</f>
        <v>0.69396098388464811</v>
      </c>
      <c r="HR22">
        <f>HD22-GF22</f>
        <v>67.720000000000027</v>
      </c>
      <c r="HS22">
        <f t="shared" si="8"/>
        <v>1.2999999999999998</v>
      </c>
      <c r="HT22" s="28">
        <f t="shared" si="9"/>
        <v>25.999999999999996</v>
      </c>
      <c r="HU22">
        <f t="shared" si="10"/>
        <v>1</v>
      </c>
      <c r="HV22" s="29">
        <f t="shared" si="11"/>
        <v>18.867924528301888</v>
      </c>
    </row>
    <row r="25" spans="1:230" x14ac:dyDescent="0.35">
      <c r="CX25">
        <f t="shared" ref="CX25" si="12">MEDIAN(CX2:CX21)</f>
        <v>2.2999999999999998</v>
      </c>
    </row>
    <row r="26" spans="1:230" x14ac:dyDescent="0.35">
      <c r="A26" t="s">
        <v>402</v>
      </c>
      <c r="D26">
        <f>MEDIAN(D3:D22)</f>
        <v>56</v>
      </c>
      <c r="E26">
        <f t="shared" ref="E26:H26" si="13">MEDIAN(E3:E22)</f>
        <v>71.5</v>
      </c>
      <c r="F26">
        <f t="shared" si="13"/>
        <v>170</v>
      </c>
      <c r="G26">
        <f t="shared" si="13"/>
        <v>1.7</v>
      </c>
      <c r="H26">
        <f t="shared" si="13"/>
        <v>22.79683014262795</v>
      </c>
      <c r="AT26">
        <f t="shared" ref="AT26" si="14">MEDIAN(AT3:AT22)</f>
        <v>6</v>
      </c>
      <c r="BY26">
        <f t="shared" ref="BY26" si="15">MEDIAN(BY3:BY22)</f>
        <v>12</v>
      </c>
      <c r="CA26">
        <f t="shared" ref="CA26" si="16">MEDIAN(CA3:CA22)</f>
        <v>5</v>
      </c>
      <c r="CX26">
        <f t="shared" ref="CX26" si="17">_xlfn.QUARTILE.INC(CX2:CX21,1)</f>
        <v>1.5</v>
      </c>
      <c r="DH26">
        <f t="shared" ref="DH26" si="18">MEDIAN(DH3:DH22)</f>
        <v>1000</v>
      </c>
      <c r="DK26">
        <f t="shared" ref="DK26" si="19">MEDIAN(DK3:DK22)</f>
        <v>0.25</v>
      </c>
      <c r="DU26">
        <f t="shared" ref="DU26:DV26" si="20">MEDIAN(DU3:DU22)</f>
        <v>77</v>
      </c>
      <c r="DV26">
        <f t="shared" si="20"/>
        <v>107</v>
      </c>
      <c r="EP26">
        <f t="shared" ref="EP26:EQ26" si="21">MEDIAN(EP3:EP22)</f>
        <v>2.415</v>
      </c>
      <c r="EQ26">
        <f t="shared" si="21"/>
        <v>44.155000000000001</v>
      </c>
    </row>
    <row r="27" spans="1:230" x14ac:dyDescent="0.35">
      <c r="A27" t="s">
        <v>397</v>
      </c>
      <c r="D27">
        <f>_xlfn.QUARTILE.INC(D3:D22,1)</f>
        <v>48.75</v>
      </c>
      <c r="E27">
        <f t="shared" ref="E27:H27" si="22">_xlfn.QUARTILE.INC(E3:E22,1)</f>
        <v>55</v>
      </c>
      <c r="F27">
        <f t="shared" si="22"/>
        <v>163.25</v>
      </c>
      <c r="G27">
        <f t="shared" si="22"/>
        <v>1.6324999999999998</v>
      </c>
      <c r="H27">
        <f t="shared" si="22"/>
        <v>19.027546698143443</v>
      </c>
      <c r="AT27">
        <f t="shared" ref="AT27" si="23">_xlfn.QUARTILE.INC(AT3:AT22,1)</f>
        <v>2</v>
      </c>
      <c r="BY27">
        <f t="shared" ref="BY27:CA27" si="24">_xlfn.QUARTILE.INC(BY3:BY22,1)</f>
        <v>1</v>
      </c>
      <c r="CA27">
        <f t="shared" si="24"/>
        <v>2.5</v>
      </c>
      <c r="CX27">
        <f t="shared" ref="CX27" si="25">_xlfn.QUARTILE.INC(CX2:CX21,3)</f>
        <v>4.6500000000000004</v>
      </c>
      <c r="DH27">
        <f t="shared" ref="DH27" si="26">_xlfn.QUARTILE.INC(DH3:DH22,1)</f>
        <v>500</v>
      </c>
      <c r="DK27">
        <f t="shared" ref="DK27" si="27">_xlfn.QUARTILE.INC(DK3:DK22,1)</f>
        <v>8.7500000000000008E-2</v>
      </c>
      <c r="DU27">
        <f t="shared" ref="DU27:DV27" si="28">_xlfn.QUARTILE.INC(DU3:DU22,1)</f>
        <v>70</v>
      </c>
      <c r="DV27">
        <f t="shared" si="28"/>
        <v>94.5</v>
      </c>
      <c r="EP27">
        <f t="shared" ref="EP27:EQ27" si="29">_xlfn.QUARTILE.INC(EP3:EP22,1)</f>
        <v>1.5375000000000001</v>
      </c>
      <c r="EQ27">
        <f t="shared" si="29"/>
        <v>18.155000000000001</v>
      </c>
    </row>
    <row r="28" spans="1:230" x14ac:dyDescent="0.35">
      <c r="A28" t="s">
        <v>398</v>
      </c>
      <c r="D28">
        <f>_xlfn.QUARTILE.INC(D3:D22,3)</f>
        <v>68.25</v>
      </c>
      <c r="E28">
        <f t="shared" ref="E28:H28" si="30">_xlfn.QUARTILE.INC(E3:E22,3)</f>
        <v>79</v>
      </c>
      <c r="F28">
        <f t="shared" si="30"/>
        <v>170.5</v>
      </c>
      <c r="G28">
        <f t="shared" si="30"/>
        <v>1.7050000000000001</v>
      </c>
      <c r="H28">
        <f t="shared" si="30"/>
        <v>27.494712825076249</v>
      </c>
      <c r="AT28">
        <f t="shared" ref="AT28" si="31">_xlfn.QUARTILE.INC(AT3:AT22,3)</f>
        <v>9</v>
      </c>
      <c r="BY28">
        <f t="shared" ref="BY28:CA28" si="32">_xlfn.QUARTILE.INC(BY3:BY22,3)</f>
        <v>18</v>
      </c>
      <c r="CA28">
        <f t="shared" si="32"/>
        <v>9</v>
      </c>
      <c r="DH28">
        <f t="shared" ref="DH28" si="33">_xlfn.QUARTILE.INC(DH3:DH22,3)</f>
        <v>2000</v>
      </c>
      <c r="DK28">
        <f t="shared" ref="DK28" si="34">_xlfn.QUARTILE.INC(DK3:DK22,3)</f>
        <v>0.46250000000000002</v>
      </c>
      <c r="DU28">
        <f t="shared" ref="DU28:DV28" si="35">_xlfn.QUARTILE.INC(DU3:DU22,3)</f>
        <v>91.25</v>
      </c>
      <c r="DV28">
        <f t="shared" si="35"/>
        <v>124.5</v>
      </c>
      <c r="EP28">
        <f t="shared" ref="EP28:EQ28" si="36">_xlfn.QUARTILE.INC(EP3:EP22,3)</f>
        <v>3.4474999999999998</v>
      </c>
      <c r="EQ28">
        <f t="shared" si="36"/>
        <v>177.84</v>
      </c>
    </row>
    <row r="29" spans="1:230" x14ac:dyDescent="0.35">
      <c r="A29" t="s">
        <v>399</v>
      </c>
      <c r="I29">
        <f>COUNTIF(I3:I22,1)</f>
        <v>6</v>
      </c>
      <c r="DI29">
        <f>COUNTIF(DI3:DI22,1)</f>
        <v>13</v>
      </c>
      <c r="DL29">
        <f>COUNTIF(DL3:DL22,1)</f>
        <v>4</v>
      </c>
      <c r="DX29">
        <f>COUNTIF(DX3:DX22,1)</f>
        <v>14</v>
      </c>
      <c r="DY29">
        <f t="shared" ref="DY29:DZ29" si="37">COUNTIF(DY3:DY22,1)</f>
        <v>4</v>
      </c>
      <c r="DZ29">
        <f t="shared" si="37"/>
        <v>2</v>
      </c>
    </row>
    <row r="30" spans="1:230" x14ac:dyDescent="0.35">
      <c r="A30" t="s">
        <v>401</v>
      </c>
      <c r="I30">
        <f>COUNT(I3:I22)</f>
        <v>20</v>
      </c>
      <c r="DI30">
        <f>COUNT(DI3:DI22)</f>
        <v>20</v>
      </c>
      <c r="DL30">
        <f>COUNT(DL3:DL22)</f>
        <v>20</v>
      </c>
      <c r="DX30">
        <f>COUNT(DX3:DX22)</f>
        <v>20</v>
      </c>
    </row>
    <row r="31" spans="1:230" x14ac:dyDescent="0.35">
      <c r="A31" t="s">
        <v>335</v>
      </c>
      <c r="I31" s="16">
        <f>I29/I30</f>
        <v>0.3</v>
      </c>
      <c r="DI31" s="16">
        <f>DI29/DI30</f>
        <v>0.65</v>
      </c>
      <c r="DL31" s="16">
        <f>DL29/DL30</f>
        <v>0.2</v>
      </c>
      <c r="DX31" s="16">
        <f>DX29/DX30</f>
        <v>0.7</v>
      </c>
    </row>
  </sheetData>
  <mergeCells count="6">
    <mergeCell ref="GV1:HG1"/>
    <mergeCell ref="DK1:ET1"/>
    <mergeCell ref="EU1:FF1"/>
    <mergeCell ref="FG1:FR1"/>
    <mergeCell ref="FS1:GI1"/>
    <mergeCell ref="GJ1:GU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W28"/>
  <sheetViews>
    <sheetView zoomScale="90" zoomScaleNormal="90" workbookViewId="0">
      <pane xSplit="11190" ySplit="11060" topLeftCell="BZ22"/>
      <selection activeCell="D19" sqref="D19"/>
      <selection pane="topRight" activeCell="EN36" sqref="EN36:EO36"/>
      <selection pane="bottomLeft" activeCell="A28" sqref="A28"/>
      <selection pane="bottomRight" activeCell="I22" sqref="I22"/>
    </sheetView>
  </sheetViews>
  <sheetFormatPr baseColWidth="10" defaultRowHeight="14.5" x14ac:dyDescent="0.35"/>
  <cols>
    <col min="4" max="4" width="11.453125" style="31"/>
  </cols>
  <sheetData>
    <row r="1" spans="1:231" x14ac:dyDescent="0.35">
      <c r="DL1" s="41" t="s">
        <v>257</v>
      </c>
      <c r="DM1" s="41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2"/>
      <c r="EV1" s="43" t="s">
        <v>258</v>
      </c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5" t="s">
        <v>259</v>
      </c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7" t="s">
        <v>260</v>
      </c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8" t="s">
        <v>265</v>
      </c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39" t="s">
        <v>266</v>
      </c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</row>
    <row r="2" spans="1:231" x14ac:dyDescent="0.35">
      <c r="A2" s="4" t="s">
        <v>0</v>
      </c>
      <c r="B2" s="4" t="s">
        <v>1</v>
      </c>
      <c r="C2" s="4" t="s">
        <v>2</v>
      </c>
      <c r="D2" s="30" t="s">
        <v>404</v>
      </c>
      <c r="E2" s="5" t="s">
        <v>3</v>
      </c>
      <c r="F2" s="5" t="s">
        <v>4</v>
      </c>
      <c r="G2" s="5" t="s">
        <v>5</v>
      </c>
      <c r="H2" s="5"/>
      <c r="I2" s="5" t="s">
        <v>6</v>
      </c>
      <c r="J2" s="5" t="s">
        <v>7</v>
      </c>
      <c r="K2" s="5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16</v>
      </c>
      <c r="T2" s="6" t="s">
        <v>17</v>
      </c>
      <c r="U2" s="6" t="s">
        <v>18</v>
      </c>
      <c r="V2" s="6" t="s">
        <v>19</v>
      </c>
      <c r="W2" s="6" t="s">
        <v>20</v>
      </c>
      <c r="X2" s="6" t="s">
        <v>21</v>
      </c>
      <c r="Y2" s="6" t="s">
        <v>22</v>
      </c>
      <c r="Z2" s="6" t="s">
        <v>23</v>
      </c>
      <c r="AA2" s="6" t="s">
        <v>24</v>
      </c>
      <c r="AB2" s="6" t="s">
        <v>25</v>
      </c>
      <c r="AC2" s="6" t="s">
        <v>26</v>
      </c>
      <c r="AD2" s="6" t="s">
        <v>27</v>
      </c>
      <c r="AE2" s="6" t="s">
        <v>28</v>
      </c>
      <c r="AF2" s="6" t="s">
        <v>29</v>
      </c>
      <c r="AG2" s="6" t="s">
        <v>30</v>
      </c>
      <c r="AH2" s="6" t="s">
        <v>31</v>
      </c>
      <c r="AI2" s="6" t="s">
        <v>32</v>
      </c>
      <c r="AJ2" s="6" t="s">
        <v>33</v>
      </c>
      <c r="AK2" s="6" t="s">
        <v>34</v>
      </c>
      <c r="AL2" s="7" t="s">
        <v>35</v>
      </c>
      <c r="AM2" s="7" t="s">
        <v>36</v>
      </c>
      <c r="AN2" s="7"/>
      <c r="AO2" s="7" t="s">
        <v>37</v>
      </c>
      <c r="AP2" s="7" t="s">
        <v>38</v>
      </c>
      <c r="AQ2" s="7" t="s">
        <v>39</v>
      </c>
      <c r="AR2" s="7" t="s">
        <v>40</v>
      </c>
      <c r="AS2" s="7" t="s">
        <v>41</v>
      </c>
      <c r="AT2" s="7" t="s">
        <v>42</v>
      </c>
      <c r="AU2" s="7" t="s">
        <v>43</v>
      </c>
      <c r="AV2" s="7" t="s">
        <v>44</v>
      </c>
      <c r="AW2" s="7" t="s">
        <v>45</v>
      </c>
      <c r="AX2" s="7" t="s">
        <v>46</v>
      </c>
      <c r="AY2" s="7" t="s">
        <v>47</v>
      </c>
      <c r="AZ2" s="7" t="s">
        <v>48</v>
      </c>
      <c r="BA2" s="7" t="s">
        <v>49</v>
      </c>
      <c r="BB2" s="6" t="s">
        <v>50</v>
      </c>
      <c r="BC2" s="6" t="s">
        <v>70</v>
      </c>
      <c r="BD2" s="6" t="s">
        <v>51</v>
      </c>
      <c r="BE2" s="6" t="s">
        <v>71</v>
      </c>
      <c r="BF2" s="6" t="s">
        <v>72</v>
      </c>
      <c r="BG2" s="6" t="s">
        <v>73</v>
      </c>
      <c r="BH2" s="6" t="s">
        <v>74</v>
      </c>
      <c r="BI2" s="6" t="s">
        <v>75</v>
      </c>
      <c r="BJ2" s="6" t="s">
        <v>76</v>
      </c>
      <c r="BK2" s="6" t="s">
        <v>77</v>
      </c>
      <c r="BL2" s="6" t="s">
        <v>78</v>
      </c>
      <c r="BM2" s="6" t="s">
        <v>79</v>
      </c>
      <c r="BN2" s="6" t="s">
        <v>80</v>
      </c>
      <c r="BO2" s="6" t="s">
        <v>81</v>
      </c>
      <c r="BP2" s="6" t="s">
        <v>82</v>
      </c>
      <c r="BQ2" s="6" t="s">
        <v>83</v>
      </c>
      <c r="BR2" s="6" t="s">
        <v>84</v>
      </c>
      <c r="BS2" s="6" t="s">
        <v>85</v>
      </c>
      <c r="BT2" s="6" t="s">
        <v>86</v>
      </c>
      <c r="BU2" s="6" t="s">
        <v>87</v>
      </c>
      <c r="BV2" s="6" t="s">
        <v>88</v>
      </c>
      <c r="BW2" s="6" t="s">
        <v>89</v>
      </c>
      <c r="BX2" s="6" t="s">
        <v>90</v>
      </c>
      <c r="BY2" s="14" t="s">
        <v>147</v>
      </c>
      <c r="BZ2" s="14" t="s">
        <v>148</v>
      </c>
      <c r="CA2" s="14" t="s">
        <v>149</v>
      </c>
      <c r="CB2" s="14" t="s">
        <v>150</v>
      </c>
      <c r="CC2" s="14" t="s">
        <v>44</v>
      </c>
      <c r="CD2" s="14" t="s">
        <v>45</v>
      </c>
      <c r="CE2" s="14" t="s">
        <v>46</v>
      </c>
      <c r="CF2" s="14" t="s">
        <v>47</v>
      </c>
      <c r="CG2" s="14" t="s">
        <v>48</v>
      </c>
      <c r="CH2" s="14" t="s">
        <v>69</v>
      </c>
      <c r="CI2" s="14" t="s">
        <v>145</v>
      </c>
      <c r="CJ2" s="14" t="s">
        <v>151</v>
      </c>
      <c r="CK2" s="14" t="s">
        <v>152</v>
      </c>
      <c r="CL2" s="14" t="s">
        <v>153</v>
      </c>
      <c r="CM2" s="14" t="s">
        <v>154</v>
      </c>
      <c r="CN2" s="14" t="s">
        <v>155</v>
      </c>
      <c r="CO2" s="14" t="s">
        <v>156</v>
      </c>
      <c r="CP2" s="14" t="s">
        <v>157</v>
      </c>
      <c r="CQ2" s="14" t="s">
        <v>158</v>
      </c>
      <c r="CR2" s="14" t="s">
        <v>159</v>
      </c>
      <c r="CS2" s="14" t="s">
        <v>160</v>
      </c>
      <c r="CT2" s="14" t="s">
        <v>161</v>
      </c>
      <c r="CU2" s="14" t="s">
        <v>162</v>
      </c>
      <c r="CV2" s="14" t="s">
        <v>163</v>
      </c>
      <c r="CW2" s="14" t="s">
        <v>164</v>
      </c>
      <c r="CX2" s="14" t="s">
        <v>165</v>
      </c>
      <c r="CY2" s="14" t="s">
        <v>174</v>
      </c>
      <c r="CZ2" s="14" t="s">
        <v>166</v>
      </c>
      <c r="DA2" s="14" t="s">
        <v>167</v>
      </c>
      <c r="DB2" s="14" t="s">
        <v>168</v>
      </c>
      <c r="DC2" s="14" t="s">
        <v>169</v>
      </c>
      <c r="DD2" s="14" t="s">
        <v>170</v>
      </c>
      <c r="DE2" s="14" t="s">
        <v>171</v>
      </c>
      <c r="DF2" s="14" t="s">
        <v>175</v>
      </c>
      <c r="DG2" s="8" t="s">
        <v>92</v>
      </c>
      <c r="DH2" s="8" t="s">
        <v>91</v>
      </c>
      <c r="DI2" s="9" t="s">
        <v>255</v>
      </c>
      <c r="DJ2" s="9"/>
      <c r="DK2" s="9" t="s">
        <v>256</v>
      </c>
      <c r="DL2" s="10" t="s">
        <v>52</v>
      </c>
      <c r="DM2" s="10"/>
      <c r="DN2" s="10" t="s">
        <v>53</v>
      </c>
      <c r="DO2" s="10" t="s">
        <v>54</v>
      </c>
      <c r="DP2" s="10" t="s">
        <v>55</v>
      </c>
      <c r="DQ2" s="10" t="s">
        <v>56</v>
      </c>
      <c r="DR2" s="10" t="s">
        <v>57</v>
      </c>
      <c r="DS2" s="10" t="s">
        <v>58</v>
      </c>
      <c r="DT2" s="10" t="s">
        <v>93</v>
      </c>
      <c r="DU2" s="10" t="s">
        <v>94</v>
      </c>
      <c r="DV2" s="10" t="s">
        <v>95</v>
      </c>
      <c r="DW2" s="10" t="s">
        <v>96</v>
      </c>
      <c r="DX2" s="10" t="s">
        <v>97</v>
      </c>
      <c r="DY2" s="10" t="s">
        <v>98</v>
      </c>
      <c r="DZ2" s="10" t="s">
        <v>99</v>
      </c>
      <c r="EA2" s="10" t="s">
        <v>100</v>
      </c>
      <c r="EB2" s="10" t="s">
        <v>101</v>
      </c>
      <c r="EC2" s="10" t="s">
        <v>102</v>
      </c>
      <c r="ED2" s="10" t="s">
        <v>103</v>
      </c>
      <c r="EE2" s="10" t="s">
        <v>104</v>
      </c>
      <c r="EF2" s="10" t="s">
        <v>105</v>
      </c>
      <c r="EG2" s="10" t="s">
        <v>106</v>
      </c>
      <c r="EH2" s="10" t="s">
        <v>107</v>
      </c>
      <c r="EI2" s="10" t="s">
        <v>108</v>
      </c>
      <c r="EJ2" s="10" t="s">
        <v>109</v>
      </c>
      <c r="EK2" s="10" t="s">
        <v>110</v>
      </c>
      <c r="EL2" s="10" t="s">
        <v>111</v>
      </c>
      <c r="EM2" s="10" t="s">
        <v>112</v>
      </c>
      <c r="EN2" s="10" t="s">
        <v>118</v>
      </c>
      <c r="EO2" s="10" t="s">
        <v>119</v>
      </c>
      <c r="EP2" s="10" t="s">
        <v>113</v>
      </c>
      <c r="EQ2" s="10" t="s">
        <v>114</v>
      </c>
      <c r="ER2" s="10" t="s">
        <v>115</v>
      </c>
      <c r="ES2" s="10" t="s">
        <v>116</v>
      </c>
      <c r="ET2" s="10" t="s">
        <v>117</v>
      </c>
      <c r="EU2" s="10" t="s">
        <v>120</v>
      </c>
      <c r="EV2" s="5" t="s">
        <v>122</v>
      </c>
      <c r="EW2" s="5" t="s">
        <v>121</v>
      </c>
      <c r="EX2" s="5" t="s">
        <v>59</v>
      </c>
      <c r="EY2" s="5" t="s">
        <v>60</v>
      </c>
      <c r="EZ2" s="5" t="s">
        <v>61</v>
      </c>
      <c r="FA2" s="5" t="s">
        <v>62</v>
      </c>
      <c r="FB2" s="5" t="s">
        <v>63</v>
      </c>
      <c r="FC2" s="5" t="s">
        <v>64</v>
      </c>
      <c r="FD2" s="5" t="s">
        <v>65</v>
      </c>
      <c r="FE2" s="5" t="s">
        <v>66</v>
      </c>
      <c r="FF2" s="5" t="s">
        <v>67</v>
      </c>
      <c r="FG2" s="5" t="s">
        <v>68</v>
      </c>
      <c r="FH2" s="13" t="s">
        <v>123</v>
      </c>
      <c r="FI2" s="13" t="s">
        <v>124</v>
      </c>
      <c r="FJ2" s="13" t="s">
        <v>125</v>
      </c>
      <c r="FK2" s="13" t="s">
        <v>126</v>
      </c>
      <c r="FL2" s="13" t="s">
        <v>127</v>
      </c>
      <c r="FM2" s="13" t="s">
        <v>128</v>
      </c>
      <c r="FN2" s="13" t="s">
        <v>63</v>
      </c>
      <c r="FO2" s="13" t="s">
        <v>129</v>
      </c>
      <c r="FP2" s="13" t="s">
        <v>130</v>
      </c>
      <c r="FQ2" s="13" t="s">
        <v>66</v>
      </c>
      <c r="FR2" s="13" t="s">
        <v>67</v>
      </c>
      <c r="FS2" s="13" t="s">
        <v>68</v>
      </c>
      <c r="FT2" s="12" t="s">
        <v>131</v>
      </c>
      <c r="FU2" s="12" t="s">
        <v>132</v>
      </c>
      <c r="FV2" s="12" t="s">
        <v>133</v>
      </c>
      <c r="FW2" s="12" t="s">
        <v>134</v>
      </c>
      <c r="FX2" s="12" t="s">
        <v>135</v>
      </c>
      <c r="FY2" s="12" t="s">
        <v>30</v>
      </c>
      <c r="FZ2" s="12" t="s">
        <v>261</v>
      </c>
      <c r="GA2" s="12" t="s">
        <v>262</v>
      </c>
      <c r="GB2" s="12" t="s">
        <v>263</v>
      </c>
      <c r="GC2" s="12" t="s">
        <v>264</v>
      </c>
      <c r="GD2" s="12" t="s">
        <v>136</v>
      </c>
      <c r="GE2" s="12" t="s">
        <v>63</v>
      </c>
      <c r="GF2" s="12" t="s">
        <v>137</v>
      </c>
      <c r="GG2" s="12" t="s">
        <v>138</v>
      </c>
      <c r="GH2" s="12" t="s">
        <v>139</v>
      </c>
      <c r="GI2" s="12" t="s">
        <v>140</v>
      </c>
      <c r="GJ2" s="12" t="s">
        <v>141</v>
      </c>
      <c r="GK2" s="11" t="s">
        <v>269</v>
      </c>
      <c r="GL2" s="11" t="s">
        <v>270</v>
      </c>
      <c r="GM2" s="11" t="s">
        <v>271</v>
      </c>
      <c r="GN2" s="11" t="s">
        <v>272</v>
      </c>
      <c r="GO2" s="11" t="s">
        <v>61</v>
      </c>
      <c r="GP2" s="11" t="s">
        <v>273</v>
      </c>
      <c r="GQ2" s="11" t="s">
        <v>63</v>
      </c>
      <c r="GR2" s="11" t="s">
        <v>274</v>
      </c>
      <c r="GS2" s="11" t="s">
        <v>275</v>
      </c>
      <c r="GT2" s="11" t="s">
        <v>66</v>
      </c>
      <c r="GU2" s="11" t="s">
        <v>67</v>
      </c>
      <c r="GV2" s="11" t="s">
        <v>68</v>
      </c>
      <c r="GW2" s="15" t="s">
        <v>276</v>
      </c>
      <c r="GX2" s="15" t="s">
        <v>270</v>
      </c>
      <c r="GY2" s="15" t="s">
        <v>271</v>
      </c>
      <c r="GZ2" s="15" t="s">
        <v>60</v>
      </c>
      <c r="HA2" s="15" t="s">
        <v>61</v>
      </c>
      <c r="HB2" s="15" t="s">
        <v>273</v>
      </c>
      <c r="HC2" s="15" t="s">
        <v>63</v>
      </c>
      <c r="HD2" s="15" t="s">
        <v>64</v>
      </c>
      <c r="HE2" s="15" t="s">
        <v>130</v>
      </c>
      <c r="HF2" s="15" t="s">
        <v>66</v>
      </c>
      <c r="HG2" s="15" t="s">
        <v>67</v>
      </c>
      <c r="HH2" s="15" t="s">
        <v>68</v>
      </c>
      <c r="HI2" s="4" t="s">
        <v>278</v>
      </c>
      <c r="HJ2" s="4" t="s">
        <v>277</v>
      </c>
      <c r="HK2" s="4" t="s">
        <v>177</v>
      </c>
      <c r="HL2" s="4" t="s">
        <v>324</v>
      </c>
      <c r="HM2" s="4" t="s">
        <v>334</v>
      </c>
      <c r="HN2" s="4" t="s">
        <v>325</v>
      </c>
      <c r="HO2" s="4" t="s">
        <v>334</v>
      </c>
      <c r="HP2" s="4" t="s">
        <v>391</v>
      </c>
      <c r="HQ2" s="4" t="s">
        <v>332</v>
      </c>
      <c r="HR2" s="4" t="s">
        <v>334</v>
      </c>
      <c r="HS2" s="4" t="s">
        <v>333</v>
      </c>
      <c r="HT2" s="4" t="s">
        <v>392</v>
      </c>
      <c r="HU2" s="4" t="s">
        <v>393</v>
      </c>
      <c r="HV2" s="4" t="s">
        <v>394</v>
      </c>
      <c r="HW2" s="4" t="s">
        <v>395</v>
      </c>
    </row>
    <row r="3" spans="1:231" x14ac:dyDescent="0.35">
      <c r="A3" t="s">
        <v>390</v>
      </c>
      <c r="B3" t="s">
        <v>347</v>
      </c>
      <c r="C3" s="3">
        <v>18139</v>
      </c>
      <c r="D3" s="31">
        <v>56</v>
      </c>
      <c r="E3">
        <v>74</v>
      </c>
      <c r="F3">
        <v>60</v>
      </c>
      <c r="G3">
        <v>177</v>
      </c>
      <c r="H3">
        <f t="shared" ref="H3:H19" si="0">G3/100</f>
        <v>1.77</v>
      </c>
      <c r="I3">
        <f t="shared" ref="I3:I19" si="1">F3/(H3*H3)</f>
        <v>19.151584793641671</v>
      </c>
      <c r="J3">
        <v>0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0</v>
      </c>
      <c r="AF3">
        <v>1</v>
      </c>
      <c r="AG3">
        <v>50</v>
      </c>
      <c r="AL3" s="3">
        <v>45171</v>
      </c>
      <c r="AM3" t="s">
        <v>351</v>
      </c>
      <c r="AO3">
        <v>1</v>
      </c>
      <c r="AP3">
        <v>1</v>
      </c>
      <c r="AQ3">
        <v>0</v>
      </c>
      <c r="AR3">
        <v>0</v>
      </c>
      <c r="AS3">
        <v>0</v>
      </c>
      <c r="AU3">
        <v>11</v>
      </c>
      <c r="AV3">
        <v>4</v>
      </c>
      <c r="AW3">
        <v>1</v>
      </c>
      <c r="AX3">
        <v>2</v>
      </c>
      <c r="AY3">
        <v>1</v>
      </c>
      <c r="AZ3">
        <v>1</v>
      </c>
      <c r="BA3">
        <v>2</v>
      </c>
      <c r="BB3">
        <v>16.399999999999999</v>
      </c>
      <c r="BC3">
        <v>11.3</v>
      </c>
      <c r="BD3">
        <v>80</v>
      </c>
      <c r="BE3">
        <v>68</v>
      </c>
      <c r="BF3">
        <v>12</v>
      </c>
      <c r="BG3">
        <v>143</v>
      </c>
      <c r="BH3">
        <v>134</v>
      </c>
      <c r="BI3">
        <v>98</v>
      </c>
      <c r="BJ3">
        <v>21</v>
      </c>
      <c r="BK3">
        <v>386</v>
      </c>
      <c r="BN3">
        <v>7.5</v>
      </c>
      <c r="BO3">
        <v>77</v>
      </c>
      <c r="BP3">
        <v>28</v>
      </c>
      <c r="BQ3">
        <v>22</v>
      </c>
      <c r="BR3">
        <v>2.1</v>
      </c>
      <c r="BS3">
        <v>67</v>
      </c>
      <c r="BT3">
        <v>87</v>
      </c>
      <c r="BU3">
        <v>480</v>
      </c>
      <c r="BV3">
        <v>96</v>
      </c>
      <c r="BW3">
        <v>826</v>
      </c>
      <c r="BX3">
        <v>13761</v>
      </c>
      <c r="BY3" s="3">
        <v>45173</v>
      </c>
      <c r="BZ3">
        <v>43</v>
      </c>
      <c r="CA3">
        <v>60.5</v>
      </c>
      <c r="CB3">
        <v>12</v>
      </c>
      <c r="CC3">
        <v>4</v>
      </c>
      <c r="CD3">
        <v>1</v>
      </c>
      <c r="CE3">
        <v>1</v>
      </c>
      <c r="CF3">
        <v>3</v>
      </c>
      <c r="CG3">
        <v>1</v>
      </c>
      <c r="CH3">
        <v>2</v>
      </c>
      <c r="CI3">
        <v>17.399999999999999</v>
      </c>
      <c r="CJ3">
        <v>8.3000000000000007</v>
      </c>
      <c r="CK3">
        <v>56</v>
      </c>
      <c r="CL3">
        <v>56</v>
      </c>
      <c r="CM3">
        <v>21</v>
      </c>
      <c r="CN3">
        <v>312</v>
      </c>
      <c r="CO3">
        <v>127</v>
      </c>
      <c r="CP3">
        <v>98</v>
      </c>
      <c r="CQ3">
        <v>22</v>
      </c>
      <c r="CU3">
        <v>7.33</v>
      </c>
      <c r="CV3">
        <v>77</v>
      </c>
      <c r="CW3">
        <v>41</v>
      </c>
      <c r="CX3">
        <v>20</v>
      </c>
      <c r="CY3">
        <v>1.2</v>
      </c>
      <c r="CZ3">
        <v>71</v>
      </c>
      <c r="DB3">
        <v>371</v>
      </c>
      <c r="DC3">
        <v>89</v>
      </c>
      <c r="DD3">
        <v>979</v>
      </c>
      <c r="DE3">
        <v>4698</v>
      </c>
      <c r="DF3">
        <v>1</v>
      </c>
      <c r="DG3">
        <v>1</v>
      </c>
      <c r="DH3">
        <v>500</v>
      </c>
      <c r="DJ3">
        <v>0</v>
      </c>
      <c r="DK3">
        <v>0</v>
      </c>
      <c r="DL3">
        <v>0.13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112</v>
      </c>
      <c r="DU3">
        <v>61</v>
      </c>
      <c r="DV3">
        <v>78</v>
      </c>
      <c r="DW3">
        <v>96</v>
      </c>
      <c r="DX3">
        <v>37.200000000000003</v>
      </c>
      <c r="DY3">
        <v>1</v>
      </c>
      <c r="DZ3">
        <v>0</v>
      </c>
      <c r="EA3">
        <v>0</v>
      </c>
      <c r="EB3">
        <v>0</v>
      </c>
      <c r="EC3">
        <v>60</v>
      </c>
      <c r="ED3">
        <v>50</v>
      </c>
      <c r="EE3">
        <v>5.9</v>
      </c>
      <c r="EF3">
        <v>50</v>
      </c>
      <c r="EG3">
        <v>20</v>
      </c>
      <c r="EH3">
        <v>0</v>
      </c>
      <c r="EI3">
        <v>0</v>
      </c>
      <c r="EJ3">
        <v>0</v>
      </c>
      <c r="EK3">
        <v>1.1000000000000001</v>
      </c>
      <c r="EP3">
        <v>0</v>
      </c>
      <c r="EQ3">
        <v>1.1000000000000001</v>
      </c>
      <c r="ER3">
        <v>386.94</v>
      </c>
      <c r="ES3">
        <v>21.55</v>
      </c>
      <c r="ET3">
        <v>297</v>
      </c>
      <c r="EU3">
        <v>448</v>
      </c>
      <c r="EV3">
        <v>102</v>
      </c>
      <c r="EW3">
        <v>49</v>
      </c>
      <c r="EX3">
        <v>70</v>
      </c>
      <c r="EY3">
        <v>93</v>
      </c>
      <c r="FB3">
        <v>0</v>
      </c>
      <c r="FC3">
        <v>1.6</v>
      </c>
      <c r="FD3">
        <v>252.47</v>
      </c>
      <c r="FH3">
        <v>115</v>
      </c>
      <c r="FI3">
        <v>61</v>
      </c>
      <c r="FJ3">
        <v>84</v>
      </c>
      <c r="FK3">
        <v>90</v>
      </c>
      <c r="FL3">
        <v>5.9</v>
      </c>
      <c r="FN3">
        <v>0</v>
      </c>
      <c r="FO3">
        <v>1.2</v>
      </c>
      <c r="FP3">
        <v>365.77</v>
      </c>
      <c r="FT3">
        <v>119</v>
      </c>
      <c r="FU3">
        <v>62</v>
      </c>
      <c r="FV3">
        <v>87</v>
      </c>
      <c r="FW3">
        <v>93</v>
      </c>
      <c r="GE3">
        <v>0</v>
      </c>
      <c r="GF3">
        <v>1.3</v>
      </c>
      <c r="GG3">
        <v>154.44999999999999</v>
      </c>
      <c r="GK3">
        <v>122</v>
      </c>
      <c r="GL3">
        <v>61</v>
      </c>
      <c r="GM3">
        <v>87</v>
      </c>
      <c r="GN3">
        <v>91</v>
      </c>
      <c r="GQ3">
        <v>0</v>
      </c>
      <c r="GR3">
        <v>0.9</v>
      </c>
      <c r="GS3">
        <v>178.18</v>
      </c>
      <c r="GW3">
        <v>122</v>
      </c>
      <c r="GX3">
        <v>61</v>
      </c>
      <c r="GY3">
        <v>87</v>
      </c>
      <c r="GZ3">
        <v>91</v>
      </c>
      <c r="HC3">
        <v>0</v>
      </c>
      <c r="HD3">
        <v>0.9</v>
      </c>
      <c r="HE3">
        <v>178.18</v>
      </c>
      <c r="HL3">
        <f t="shared" ref="HL3:HL19" si="2">FD3-ER3</f>
        <v>-134.47</v>
      </c>
      <c r="HM3" s="16">
        <f t="shared" ref="HM3:HM19" si="3">HL3/ER3</f>
        <v>-0.3475215795730604</v>
      </c>
      <c r="HN3">
        <f t="shared" ref="HN3:HN10" si="4">GG3-FP3</f>
        <v>-211.32</v>
      </c>
      <c r="HO3" s="16">
        <f t="shared" ref="HO3:HO10" si="5">HN3/FP3</f>
        <v>-0.57774010990513169</v>
      </c>
      <c r="HP3" s="26">
        <f t="shared" ref="HP3:HP19" si="6">HN3-HL3</f>
        <v>-76.849999999999994</v>
      </c>
      <c r="HQ3">
        <f>HE3-FP3</f>
        <v>-187.58999999999997</v>
      </c>
      <c r="HR3" s="16">
        <f>HQ3/FP3</f>
        <v>-0.51286327473548943</v>
      </c>
      <c r="HS3">
        <f>HE3-GG3</f>
        <v>23.730000000000018</v>
      </c>
    </row>
    <row r="4" spans="1:231" x14ac:dyDescent="0.35">
      <c r="A4" t="s">
        <v>329</v>
      </c>
      <c r="B4" t="s">
        <v>330</v>
      </c>
      <c r="C4" s="3">
        <v>17333</v>
      </c>
      <c r="D4" s="31">
        <v>63</v>
      </c>
      <c r="E4">
        <v>76</v>
      </c>
      <c r="F4">
        <v>113.5</v>
      </c>
      <c r="G4">
        <v>175</v>
      </c>
      <c r="H4">
        <f t="shared" si="0"/>
        <v>1.75</v>
      </c>
      <c r="I4">
        <f t="shared" si="1"/>
        <v>37.061224489795919</v>
      </c>
      <c r="J4">
        <v>0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144</v>
      </c>
      <c r="AL4" s="3">
        <v>45141</v>
      </c>
      <c r="AM4" t="s">
        <v>38</v>
      </c>
      <c r="AO4">
        <v>1</v>
      </c>
      <c r="AP4">
        <v>1</v>
      </c>
      <c r="AQ4">
        <v>0</v>
      </c>
      <c r="AR4">
        <v>0</v>
      </c>
      <c r="AS4">
        <v>0</v>
      </c>
      <c r="AT4">
        <v>63</v>
      </c>
      <c r="AU4">
        <v>11</v>
      </c>
      <c r="AV4">
        <v>4</v>
      </c>
      <c r="AW4">
        <v>0</v>
      </c>
      <c r="AX4">
        <v>1</v>
      </c>
      <c r="AY4">
        <v>3</v>
      </c>
      <c r="AZ4">
        <v>0</v>
      </c>
      <c r="BA4">
        <v>3</v>
      </c>
      <c r="BB4">
        <v>8.6</v>
      </c>
      <c r="BC4">
        <v>11.8</v>
      </c>
      <c r="BD4">
        <v>30</v>
      </c>
      <c r="BE4">
        <v>49</v>
      </c>
      <c r="BF4">
        <v>29</v>
      </c>
      <c r="BG4">
        <v>437</v>
      </c>
      <c r="BH4">
        <v>140</v>
      </c>
      <c r="BI4">
        <v>109</v>
      </c>
      <c r="BJ4">
        <v>7</v>
      </c>
      <c r="BK4">
        <v>168</v>
      </c>
      <c r="BM4">
        <v>17.600000000000001</v>
      </c>
      <c r="BN4">
        <v>7.36</v>
      </c>
      <c r="BO4">
        <v>76</v>
      </c>
      <c r="BP4">
        <v>17</v>
      </c>
      <c r="BQ4">
        <v>10</v>
      </c>
      <c r="BR4">
        <v>3.8</v>
      </c>
      <c r="BS4">
        <v>57</v>
      </c>
      <c r="BT4">
        <v>53</v>
      </c>
      <c r="BU4">
        <v>29</v>
      </c>
      <c r="BV4">
        <v>18</v>
      </c>
      <c r="BW4">
        <v>729</v>
      </c>
      <c r="BX4">
        <v>41</v>
      </c>
      <c r="BY4" s="3">
        <v>45142</v>
      </c>
      <c r="BZ4">
        <v>20</v>
      </c>
      <c r="CA4">
        <v>113.5</v>
      </c>
      <c r="CB4">
        <v>13</v>
      </c>
      <c r="CC4">
        <v>4</v>
      </c>
      <c r="CD4">
        <v>0</v>
      </c>
      <c r="CE4">
        <v>2</v>
      </c>
      <c r="CF4">
        <v>4</v>
      </c>
      <c r="CG4">
        <v>0</v>
      </c>
      <c r="CH4">
        <v>3</v>
      </c>
      <c r="CI4">
        <v>21.3</v>
      </c>
      <c r="CJ4">
        <v>11.6</v>
      </c>
      <c r="CK4">
        <v>52</v>
      </c>
      <c r="CL4">
        <v>43</v>
      </c>
      <c r="CM4">
        <v>20</v>
      </c>
      <c r="CN4">
        <v>325</v>
      </c>
      <c r="CO4">
        <v>141</v>
      </c>
      <c r="CP4">
        <v>105</v>
      </c>
      <c r="CQ4">
        <v>8</v>
      </c>
      <c r="CR4">
        <v>123</v>
      </c>
      <c r="CS4">
        <v>15</v>
      </c>
      <c r="CU4">
        <v>6.92</v>
      </c>
      <c r="CV4">
        <v>166</v>
      </c>
      <c r="CW4">
        <v>42</v>
      </c>
      <c r="CX4">
        <v>10</v>
      </c>
      <c r="CY4">
        <v>18.600000000000001</v>
      </c>
      <c r="DB4">
        <v>25</v>
      </c>
      <c r="DC4">
        <v>18</v>
      </c>
      <c r="DD4">
        <v>781</v>
      </c>
      <c r="DE4">
        <v>38</v>
      </c>
      <c r="DF4">
        <v>1</v>
      </c>
      <c r="DG4">
        <v>2</v>
      </c>
      <c r="DH4">
        <v>100</v>
      </c>
      <c r="DI4">
        <v>1000</v>
      </c>
      <c r="DJ4">
        <v>1</v>
      </c>
      <c r="DK4">
        <v>0</v>
      </c>
      <c r="DL4">
        <v>0.4</v>
      </c>
      <c r="DM4">
        <v>1</v>
      </c>
      <c r="DN4">
        <v>0</v>
      </c>
      <c r="DO4">
        <v>0</v>
      </c>
      <c r="DP4">
        <v>80</v>
      </c>
      <c r="DQ4">
        <v>5</v>
      </c>
      <c r="DR4">
        <v>0</v>
      </c>
      <c r="DS4">
        <v>0</v>
      </c>
      <c r="DT4">
        <v>93</v>
      </c>
      <c r="DU4">
        <v>46</v>
      </c>
      <c r="DV4">
        <v>62</v>
      </c>
      <c r="DW4">
        <v>79</v>
      </c>
      <c r="DX4">
        <v>37.1</v>
      </c>
      <c r="DY4">
        <v>0</v>
      </c>
      <c r="DZ4">
        <v>0</v>
      </c>
      <c r="EA4">
        <v>1</v>
      </c>
      <c r="EB4">
        <v>8</v>
      </c>
      <c r="EC4">
        <v>40</v>
      </c>
      <c r="ED4">
        <v>60</v>
      </c>
      <c r="EE4">
        <v>4.0999999999999996</v>
      </c>
      <c r="EF4">
        <v>50</v>
      </c>
      <c r="EG4">
        <v>20</v>
      </c>
      <c r="EH4">
        <v>0</v>
      </c>
      <c r="EI4">
        <v>0</v>
      </c>
      <c r="EJ4">
        <v>0</v>
      </c>
      <c r="EK4">
        <v>0.9</v>
      </c>
      <c r="EL4">
        <v>6</v>
      </c>
      <c r="EM4">
        <v>5</v>
      </c>
      <c r="EP4">
        <v>0</v>
      </c>
      <c r="EQ4">
        <v>2.4</v>
      </c>
      <c r="ER4">
        <v>44.42</v>
      </c>
      <c r="ES4">
        <v>7.39</v>
      </c>
      <c r="EV4">
        <v>128</v>
      </c>
      <c r="EW4">
        <v>47</v>
      </c>
      <c r="EX4">
        <v>67</v>
      </c>
      <c r="EY4">
        <v>79</v>
      </c>
      <c r="EZ4">
        <v>5.4</v>
      </c>
      <c r="FA4">
        <v>5</v>
      </c>
      <c r="FB4">
        <v>0</v>
      </c>
      <c r="FC4">
        <v>1.7</v>
      </c>
      <c r="FD4">
        <v>56.28</v>
      </c>
      <c r="FH4">
        <v>106</v>
      </c>
      <c r="FI4">
        <v>51</v>
      </c>
      <c r="FJ4">
        <v>67</v>
      </c>
      <c r="FK4">
        <v>91</v>
      </c>
      <c r="FL4">
        <v>5.2</v>
      </c>
      <c r="FM4">
        <v>5</v>
      </c>
      <c r="FN4">
        <v>0</v>
      </c>
      <c r="FO4">
        <v>2.35</v>
      </c>
      <c r="FP4">
        <v>35.950000000000003</v>
      </c>
      <c r="FT4">
        <v>116</v>
      </c>
      <c r="FU4">
        <v>46</v>
      </c>
      <c r="FV4">
        <v>64</v>
      </c>
      <c r="FW4">
        <v>80</v>
      </c>
      <c r="FX4">
        <v>5.0999999999999996</v>
      </c>
      <c r="GD4">
        <v>5</v>
      </c>
      <c r="GE4">
        <v>0</v>
      </c>
      <c r="GF4">
        <v>2.2999999999999998</v>
      </c>
      <c r="GG4">
        <v>49.9</v>
      </c>
      <c r="GH4">
        <v>13.6</v>
      </c>
      <c r="GK4">
        <v>114</v>
      </c>
      <c r="GL4">
        <v>50</v>
      </c>
      <c r="GM4">
        <v>68</v>
      </c>
      <c r="GN4">
        <v>78</v>
      </c>
      <c r="GP4">
        <v>5</v>
      </c>
      <c r="GQ4">
        <v>0</v>
      </c>
      <c r="GR4">
        <v>2.9</v>
      </c>
      <c r="GS4">
        <v>40.200000000000003</v>
      </c>
      <c r="GW4">
        <v>99</v>
      </c>
      <c r="GX4">
        <v>52</v>
      </c>
      <c r="GY4">
        <v>66</v>
      </c>
      <c r="GZ4">
        <v>85</v>
      </c>
      <c r="HC4">
        <v>0</v>
      </c>
      <c r="HD4">
        <v>3.1</v>
      </c>
      <c r="HE4">
        <v>30.43</v>
      </c>
      <c r="HL4">
        <f t="shared" si="2"/>
        <v>11.86</v>
      </c>
      <c r="HM4" s="16">
        <f t="shared" si="3"/>
        <v>0.26699684826654657</v>
      </c>
      <c r="HN4">
        <f t="shared" si="4"/>
        <v>13.949999999999996</v>
      </c>
      <c r="HO4" s="16">
        <f t="shared" si="5"/>
        <v>0.38803894297635588</v>
      </c>
      <c r="HP4" s="26">
        <f t="shared" si="6"/>
        <v>2.0899999999999963</v>
      </c>
      <c r="HR4" s="16">
        <f>HQ4/FP4</f>
        <v>0</v>
      </c>
      <c r="HS4">
        <f>HE4-GG4</f>
        <v>-19.47</v>
      </c>
      <c r="HT4">
        <f t="shared" ref="HT4:HT9" si="7">EZ4-EE4</f>
        <v>1.3000000000000007</v>
      </c>
      <c r="HU4" s="28">
        <f t="shared" ref="HU4:HU9" si="8">(HT4/EE4)*100</f>
        <v>31.707317073170753</v>
      </c>
      <c r="HV4">
        <f t="shared" ref="HV4:HV9" si="9">FX4-FL4</f>
        <v>-0.10000000000000053</v>
      </c>
      <c r="HW4" s="28">
        <f t="shared" ref="HW4:HW9" si="10">(HV4/FL4)*100</f>
        <v>-1.9230769230769333</v>
      </c>
    </row>
    <row r="5" spans="1:231" x14ac:dyDescent="0.35">
      <c r="A5" t="s">
        <v>302</v>
      </c>
      <c r="B5" t="s">
        <v>303</v>
      </c>
      <c r="C5" s="3">
        <v>24433</v>
      </c>
      <c r="D5" s="31">
        <v>62</v>
      </c>
      <c r="E5">
        <v>56</v>
      </c>
      <c r="F5">
        <v>64</v>
      </c>
      <c r="G5">
        <v>177</v>
      </c>
      <c r="H5">
        <f t="shared" si="0"/>
        <v>1.77</v>
      </c>
      <c r="I5">
        <f t="shared" si="1"/>
        <v>20.428357113217785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1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 t="s">
        <v>144</v>
      </c>
      <c r="AL5" s="3">
        <v>45122</v>
      </c>
      <c r="AM5" t="s">
        <v>304</v>
      </c>
      <c r="AO5">
        <v>1</v>
      </c>
      <c r="AP5">
        <v>1</v>
      </c>
      <c r="AQ5">
        <v>0</v>
      </c>
      <c r="AR5">
        <v>0</v>
      </c>
      <c r="AS5">
        <v>0</v>
      </c>
      <c r="AU5">
        <v>14</v>
      </c>
      <c r="AV5">
        <v>4</v>
      </c>
      <c r="AW5">
        <v>3</v>
      </c>
      <c r="AX5">
        <v>3</v>
      </c>
      <c r="AY5">
        <v>2</v>
      </c>
      <c r="AZ5">
        <v>2</v>
      </c>
      <c r="BA5">
        <v>0</v>
      </c>
      <c r="BB5">
        <v>9.9</v>
      </c>
      <c r="BC5">
        <v>10.3</v>
      </c>
      <c r="BD5">
        <v>320</v>
      </c>
      <c r="BE5">
        <v>65</v>
      </c>
      <c r="BF5">
        <v>17.3</v>
      </c>
      <c r="BG5">
        <v>332</v>
      </c>
      <c r="BH5">
        <v>131</v>
      </c>
      <c r="BI5">
        <v>96</v>
      </c>
      <c r="BJ5">
        <v>55</v>
      </c>
      <c r="BK5" t="s">
        <v>144</v>
      </c>
      <c r="BL5">
        <v>0.32</v>
      </c>
      <c r="BM5" t="s">
        <v>144</v>
      </c>
      <c r="BN5">
        <v>7.4</v>
      </c>
      <c r="BO5">
        <v>62</v>
      </c>
      <c r="BP5">
        <v>33</v>
      </c>
      <c r="BQ5">
        <v>20</v>
      </c>
      <c r="BR5">
        <v>5.2</v>
      </c>
      <c r="BS5">
        <v>51</v>
      </c>
      <c r="BT5" t="s">
        <v>144</v>
      </c>
      <c r="BU5">
        <v>46</v>
      </c>
      <c r="BV5">
        <v>26</v>
      </c>
      <c r="BW5">
        <v>367</v>
      </c>
      <c r="BX5">
        <v>93</v>
      </c>
      <c r="BY5" s="3">
        <v>45127</v>
      </c>
      <c r="CA5">
        <v>52.5</v>
      </c>
      <c r="CB5">
        <v>14</v>
      </c>
      <c r="CC5">
        <v>4</v>
      </c>
      <c r="CD5">
        <v>2</v>
      </c>
      <c r="CE5">
        <v>3</v>
      </c>
      <c r="CF5">
        <v>3</v>
      </c>
      <c r="CG5">
        <v>2</v>
      </c>
      <c r="CH5">
        <v>0</v>
      </c>
      <c r="CI5">
        <v>15.2</v>
      </c>
      <c r="CJ5">
        <v>9.3000000000000007</v>
      </c>
      <c r="CK5">
        <v>234</v>
      </c>
      <c r="CL5">
        <v>67</v>
      </c>
      <c r="CM5">
        <v>44</v>
      </c>
      <c r="CN5">
        <v>360</v>
      </c>
      <c r="CO5">
        <v>142</v>
      </c>
      <c r="CP5">
        <v>108</v>
      </c>
      <c r="CQ5">
        <v>45</v>
      </c>
      <c r="CR5" t="s">
        <v>282</v>
      </c>
      <c r="CS5" t="s">
        <v>282</v>
      </c>
      <c r="CT5" t="s">
        <v>282</v>
      </c>
      <c r="CU5">
        <v>7.4</v>
      </c>
      <c r="CV5">
        <v>70</v>
      </c>
      <c r="CW5">
        <v>30</v>
      </c>
      <c r="CX5">
        <v>19</v>
      </c>
      <c r="CY5">
        <v>1.3</v>
      </c>
      <c r="CZ5">
        <v>53</v>
      </c>
      <c r="DA5" t="s">
        <v>144</v>
      </c>
      <c r="DB5">
        <v>50</v>
      </c>
      <c r="DC5">
        <v>29</v>
      </c>
      <c r="DD5">
        <v>513</v>
      </c>
      <c r="DE5">
        <v>70</v>
      </c>
      <c r="DF5">
        <v>1</v>
      </c>
      <c r="DG5">
        <v>2</v>
      </c>
      <c r="DH5">
        <v>100</v>
      </c>
      <c r="DI5">
        <v>1000</v>
      </c>
      <c r="DJ5">
        <v>1</v>
      </c>
      <c r="DK5">
        <v>2</v>
      </c>
      <c r="DL5">
        <v>0.18</v>
      </c>
      <c r="DM5">
        <v>1</v>
      </c>
      <c r="DN5">
        <v>0</v>
      </c>
      <c r="DO5">
        <v>0</v>
      </c>
      <c r="DP5">
        <v>80</v>
      </c>
      <c r="DQ5">
        <v>0</v>
      </c>
      <c r="DR5">
        <v>0</v>
      </c>
      <c r="DS5">
        <v>0</v>
      </c>
      <c r="DT5">
        <v>111</v>
      </c>
      <c r="DU5">
        <v>53</v>
      </c>
      <c r="DV5">
        <v>74</v>
      </c>
      <c r="DW5">
        <v>107</v>
      </c>
      <c r="DX5">
        <v>36.6</v>
      </c>
      <c r="DY5">
        <v>0</v>
      </c>
      <c r="DZ5">
        <v>1</v>
      </c>
      <c r="EA5">
        <v>0</v>
      </c>
      <c r="EB5">
        <v>5</v>
      </c>
      <c r="EC5">
        <v>30</v>
      </c>
      <c r="ED5">
        <v>60</v>
      </c>
      <c r="EE5">
        <v>7.8</v>
      </c>
      <c r="EF5">
        <v>50</v>
      </c>
      <c r="EG5">
        <v>15</v>
      </c>
      <c r="EH5">
        <v>0</v>
      </c>
      <c r="EI5">
        <v>0</v>
      </c>
      <c r="EJ5">
        <v>0</v>
      </c>
      <c r="EK5">
        <v>0.8</v>
      </c>
      <c r="EL5">
        <v>5.4</v>
      </c>
      <c r="EM5" t="s">
        <v>144</v>
      </c>
      <c r="EN5" t="s">
        <v>144</v>
      </c>
      <c r="EO5" t="s">
        <v>144</v>
      </c>
      <c r="EP5">
        <v>0</v>
      </c>
      <c r="EQ5">
        <v>1.2</v>
      </c>
      <c r="ER5">
        <v>175.08</v>
      </c>
      <c r="ES5">
        <v>24.1</v>
      </c>
      <c r="ET5">
        <v>115</v>
      </c>
      <c r="EU5">
        <v>255</v>
      </c>
      <c r="EV5">
        <v>112</v>
      </c>
      <c r="EW5">
        <v>51</v>
      </c>
      <c r="EX5">
        <v>74</v>
      </c>
      <c r="EY5">
        <v>108</v>
      </c>
      <c r="EZ5">
        <v>7.6</v>
      </c>
      <c r="FA5" t="s">
        <v>144</v>
      </c>
      <c r="FB5">
        <v>0</v>
      </c>
      <c r="FC5">
        <v>1.2</v>
      </c>
      <c r="FD5">
        <v>172.1</v>
      </c>
      <c r="FE5">
        <v>56.1</v>
      </c>
      <c r="FF5">
        <v>14.2</v>
      </c>
      <c r="FG5">
        <v>431</v>
      </c>
      <c r="FH5">
        <v>116</v>
      </c>
      <c r="FI5">
        <v>56</v>
      </c>
      <c r="FJ5">
        <v>79</v>
      </c>
      <c r="FK5">
        <v>106</v>
      </c>
      <c r="FL5">
        <v>7.5</v>
      </c>
      <c r="FM5" t="s">
        <v>144</v>
      </c>
      <c r="FN5">
        <v>0</v>
      </c>
      <c r="FO5">
        <v>1.1000000000000001</v>
      </c>
      <c r="FP5">
        <v>179.49</v>
      </c>
      <c r="FQ5">
        <v>27.27</v>
      </c>
      <c r="FR5">
        <v>101</v>
      </c>
      <c r="FS5">
        <v>245</v>
      </c>
      <c r="FT5">
        <v>120</v>
      </c>
      <c r="FU5">
        <v>58</v>
      </c>
      <c r="FV5">
        <v>82</v>
      </c>
      <c r="FW5">
        <v>108</v>
      </c>
      <c r="FX5">
        <v>8.3000000000000007</v>
      </c>
      <c r="FY5">
        <v>50</v>
      </c>
      <c r="FZ5">
        <v>0.7</v>
      </c>
      <c r="GA5">
        <v>4.5</v>
      </c>
      <c r="GB5">
        <v>13</v>
      </c>
      <c r="GC5">
        <v>0</v>
      </c>
      <c r="GD5" t="s">
        <v>144</v>
      </c>
      <c r="GE5">
        <v>0</v>
      </c>
      <c r="GF5">
        <v>0.9</v>
      </c>
      <c r="GG5">
        <v>92.79</v>
      </c>
      <c r="GH5">
        <v>19</v>
      </c>
      <c r="GI5">
        <v>49</v>
      </c>
      <c r="GJ5">
        <v>148</v>
      </c>
      <c r="GK5">
        <v>119</v>
      </c>
      <c r="GL5">
        <v>56</v>
      </c>
      <c r="GM5">
        <v>79</v>
      </c>
      <c r="GN5">
        <v>105</v>
      </c>
      <c r="GO5">
        <v>8.3000000000000007</v>
      </c>
      <c r="GP5" t="s">
        <v>144</v>
      </c>
      <c r="GQ5">
        <v>0</v>
      </c>
      <c r="GR5">
        <v>1.05</v>
      </c>
      <c r="GS5">
        <v>121.11</v>
      </c>
      <c r="GT5">
        <v>24.48</v>
      </c>
      <c r="GU5">
        <v>66</v>
      </c>
      <c r="GV5">
        <v>183</v>
      </c>
      <c r="GW5">
        <v>116</v>
      </c>
      <c r="GX5">
        <v>55</v>
      </c>
      <c r="GY5">
        <v>78</v>
      </c>
      <c r="GZ5">
        <v>103</v>
      </c>
      <c r="HA5">
        <v>8.3000000000000007</v>
      </c>
      <c r="HB5" t="s">
        <v>144</v>
      </c>
      <c r="HC5">
        <v>0</v>
      </c>
      <c r="HD5">
        <v>1.1000000000000001</v>
      </c>
      <c r="HE5">
        <v>224.24</v>
      </c>
      <c r="HF5">
        <v>42.7</v>
      </c>
      <c r="HG5">
        <v>141.30000000000001</v>
      </c>
      <c r="HH5">
        <v>358</v>
      </c>
      <c r="HL5">
        <f t="shared" si="2"/>
        <v>-2.9800000000000182</v>
      </c>
      <c r="HM5" s="16">
        <f t="shared" si="3"/>
        <v>-1.7020790495773465E-2</v>
      </c>
      <c r="HN5">
        <f t="shared" si="4"/>
        <v>-86.7</v>
      </c>
      <c r="HO5" s="16">
        <f t="shared" si="5"/>
        <v>-0.48303526658866791</v>
      </c>
      <c r="HP5" s="26">
        <f t="shared" si="6"/>
        <v>-83.719999999999985</v>
      </c>
      <c r="HR5" s="16">
        <f>HQ5/FP5</f>
        <v>0</v>
      </c>
      <c r="HS5">
        <f>HE5-GG5</f>
        <v>131.44999999999999</v>
      </c>
      <c r="HT5">
        <f t="shared" si="7"/>
        <v>-0.20000000000000018</v>
      </c>
      <c r="HU5" s="28">
        <f t="shared" si="8"/>
        <v>-2.5641025641025665</v>
      </c>
      <c r="HV5">
        <f t="shared" si="9"/>
        <v>0.80000000000000071</v>
      </c>
      <c r="HW5" s="28">
        <f t="shared" si="10"/>
        <v>10.666666666666675</v>
      </c>
    </row>
    <row r="6" spans="1:231" x14ac:dyDescent="0.35">
      <c r="A6" t="s">
        <v>183</v>
      </c>
      <c r="B6" t="s">
        <v>184</v>
      </c>
      <c r="C6" s="3">
        <v>28579</v>
      </c>
      <c r="D6" s="31">
        <v>45</v>
      </c>
      <c r="E6">
        <v>28</v>
      </c>
      <c r="F6">
        <v>75</v>
      </c>
      <c r="G6">
        <v>173</v>
      </c>
      <c r="H6">
        <f t="shared" si="0"/>
        <v>1.73</v>
      </c>
      <c r="I6">
        <f t="shared" si="1"/>
        <v>25.059307026629689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 t="s">
        <v>144</v>
      </c>
      <c r="AH6">
        <v>0</v>
      </c>
      <c r="AI6">
        <v>0</v>
      </c>
      <c r="AJ6">
        <v>0</v>
      </c>
      <c r="AK6">
        <v>0</v>
      </c>
      <c r="AL6" s="3">
        <v>44980</v>
      </c>
      <c r="AM6" t="s">
        <v>185</v>
      </c>
      <c r="AO6">
        <v>0</v>
      </c>
      <c r="AP6">
        <v>0</v>
      </c>
      <c r="AQ6">
        <v>0</v>
      </c>
      <c r="AR6">
        <v>0</v>
      </c>
      <c r="AS6">
        <v>0</v>
      </c>
      <c r="AT6">
        <v>43</v>
      </c>
      <c r="AU6">
        <v>8</v>
      </c>
      <c r="AV6">
        <v>4</v>
      </c>
      <c r="AW6">
        <v>0</v>
      </c>
      <c r="AX6">
        <v>4</v>
      </c>
      <c r="AY6">
        <v>0</v>
      </c>
      <c r="AZ6">
        <v>0</v>
      </c>
      <c r="BA6">
        <v>0</v>
      </c>
      <c r="BB6">
        <v>6.21</v>
      </c>
      <c r="BC6">
        <v>10.3</v>
      </c>
      <c r="BD6">
        <v>316</v>
      </c>
      <c r="BE6">
        <v>79</v>
      </c>
      <c r="BF6">
        <v>3.6</v>
      </c>
      <c r="BG6">
        <v>60</v>
      </c>
      <c r="BH6">
        <v>140</v>
      </c>
      <c r="BI6">
        <v>106</v>
      </c>
      <c r="BJ6">
        <v>9</v>
      </c>
      <c r="BK6">
        <v>7</v>
      </c>
      <c r="BL6">
        <v>0.03</v>
      </c>
      <c r="BM6">
        <v>32</v>
      </c>
      <c r="BN6">
        <v>7.52</v>
      </c>
      <c r="BO6">
        <v>77</v>
      </c>
      <c r="BP6">
        <v>35</v>
      </c>
      <c r="BQ6">
        <v>29</v>
      </c>
      <c r="BR6">
        <v>1.3</v>
      </c>
      <c r="BS6">
        <v>100</v>
      </c>
      <c r="BT6" t="s">
        <v>144</v>
      </c>
      <c r="BU6">
        <v>40</v>
      </c>
      <c r="BV6">
        <v>27</v>
      </c>
      <c r="BW6">
        <v>455</v>
      </c>
      <c r="BX6">
        <v>111</v>
      </c>
      <c r="BY6" s="3">
        <v>44981</v>
      </c>
      <c r="BZ6">
        <v>12</v>
      </c>
      <c r="CA6">
        <v>75</v>
      </c>
      <c r="CB6">
        <v>4</v>
      </c>
      <c r="CC6">
        <v>0</v>
      </c>
      <c r="CD6">
        <v>0</v>
      </c>
      <c r="CE6">
        <v>4</v>
      </c>
      <c r="CF6">
        <v>0</v>
      </c>
      <c r="CG6">
        <v>0</v>
      </c>
      <c r="CH6">
        <v>0</v>
      </c>
      <c r="CI6">
        <v>3.6</v>
      </c>
      <c r="CJ6">
        <v>9.5</v>
      </c>
      <c r="CK6">
        <v>313</v>
      </c>
      <c r="CL6">
        <v>68</v>
      </c>
      <c r="CM6">
        <v>5.2</v>
      </c>
      <c r="CN6">
        <v>79</v>
      </c>
      <c r="CO6">
        <v>139</v>
      </c>
      <c r="CP6">
        <v>107</v>
      </c>
      <c r="CQ6" t="s">
        <v>144</v>
      </c>
      <c r="CR6" t="s">
        <v>144</v>
      </c>
      <c r="CS6" t="s">
        <v>144</v>
      </c>
      <c r="CT6" t="s">
        <v>144</v>
      </c>
      <c r="CU6">
        <v>7.61</v>
      </c>
      <c r="CV6">
        <v>95</v>
      </c>
      <c r="CW6">
        <v>24</v>
      </c>
      <c r="CX6">
        <v>24</v>
      </c>
      <c r="CY6">
        <v>1.9</v>
      </c>
      <c r="CZ6" t="s">
        <v>144</v>
      </c>
      <c r="DA6" t="s">
        <v>144</v>
      </c>
      <c r="DB6" t="s">
        <v>144</v>
      </c>
      <c r="DC6" t="s">
        <v>144</v>
      </c>
      <c r="DD6" t="s">
        <v>144</v>
      </c>
      <c r="DE6" t="s">
        <v>144</v>
      </c>
      <c r="DF6">
        <v>2</v>
      </c>
      <c r="DG6">
        <v>1</v>
      </c>
      <c r="DH6">
        <v>500</v>
      </c>
      <c r="DI6">
        <v>1500</v>
      </c>
      <c r="DJ6">
        <v>1</v>
      </c>
      <c r="DK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89</v>
      </c>
      <c r="DU6">
        <v>74</v>
      </c>
      <c r="DV6">
        <v>80</v>
      </c>
      <c r="DW6">
        <v>81</v>
      </c>
      <c r="DX6">
        <v>35.5</v>
      </c>
      <c r="DY6">
        <v>0</v>
      </c>
      <c r="DZ6">
        <v>0</v>
      </c>
      <c r="EA6">
        <v>1</v>
      </c>
      <c r="EB6">
        <v>5</v>
      </c>
      <c r="EC6">
        <v>30</v>
      </c>
      <c r="ED6">
        <v>60</v>
      </c>
      <c r="EE6">
        <v>2.8</v>
      </c>
      <c r="EF6">
        <v>50</v>
      </c>
      <c r="EG6">
        <v>15</v>
      </c>
      <c r="EH6">
        <v>50</v>
      </c>
      <c r="EI6">
        <v>0</v>
      </c>
      <c r="EJ6">
        <v>0</v>
      </c>
      <c r="EK6" t="s">
        <v>144</v>
      </c>
      <c r="EL6" t="s">
        <v>144</v>
      </c>
      <c r="EM6" t="s">
        <v>144</v>
      </c>
      <c r="EN6" t="s">
        <v>144</v>
      </c>
      <c r="EO6" t="s">
        <v>144</v>
      </c>
      <c r="EP6" t="s">
        <v>144</v>
      </c>
      <c r="EQ6">
        <v>3.38</v>
      </c>
      <c r="ER6">
        <v>10.039999999999999</v>
      </c>
      <c r="ES6">
        <v>2.58</v>
      </c>
      <c r="ET6">
        <v>5.8</v>
      </c>
      <c r="EU6">
        <v>15.98</v>
      </c>
      <c r="EV6" s="2">
        <v>99</v>
      </c>
      <c r="EW6" s="2">
        <v>76</v>
      </c>
      <c r="EX6" s="2">
        <v>84</v>
      </c>
      <c r="EY6" s="2">
        <v>73</v>
      </c>
      <c r="EZ6" s="2">
        <v>2.8</v>
      </c>
      <c r="FA6" t="s">
        <v>144</v>
      </c>
      <c r="FB6" t="s">
        <v>144</v>
      </c>
      <c r="FC6" s="2">
        <v>3.01</v>
      </c>
      <c r="FD6" s="2">
        <v>12.73</v>
      </c>
      <c r="FE6" s="2">
        <v>7.76</v>
      </c>
      <c r="FF6" s="2">
        <v>4.7</v>
      </c>
      <c r="FG6" s="2">
        <v>54.72</v>
      </c>
      <c r="FH6" s="2">
        <v>88</v>
      </c>
      <c r="FI6" s="2">
        <v>74</v>
      </c>
      <c r="FJ6" s="2">
        <v>81</v>
      </c>
      <c r="FK6" s="2">
        <v>75</v>
      </c>
      <c r="FL6" s="2">
        <v>2.9</v>
      </c>
      <c r="FM6" t="s">
        <v>144</v>
      </c>
      <c r="FN6" t="s">
        <v>144</v>
      </c>
      <c r="FO6" s="2">
        <v>3.59</v>
      </c>
      <c r="FP6" s="2">
        <v>7.62</v>
      </c>
      <c r="FQ6" s="2">
        <v>2.5</v>
      </c>
      <c r="FR6" s="2">
        <v>5</v>
      </c>
      <c r="FS6" s="2">
        <v>18.010000000000002</v>
      </c>
      <c r="FT6" s="2">
        <v>100</v>
      </c>
      <c r="FU6" s="2">
        <v>80</v>
      </c>
      <c r="FV6" s="2">
        <v>88</v>
      </c>
      <c r="FW6" s="2">
        <v>67</v>
      </c>
      <c r="FX6" s="2">
        <v>2.9</v>
      </c>
      <c r="FY6" s="2"/>
      <c r="FZ6" s="2"/>
      <c r="GA6" s="2"/>
      <c r="GB6" s="2"/>
      <c r="GC6" s="2"/>
      <c r="GD6" t="s">
        <v>144</v>
      </c>
      <c r="GE6" t="s">
        <v>144</v>
      </c>
      <c r="GF6" s="2">
        <v>2.39</v>
      </c>
      <c r="GG6" s="2">
        <v>15.02</v>
      </c>
      <c r="GH6" s="2">
        <v>6.36</v>
      </c>
      <c r="GI6" s="2">
        <v>5.43</v>
      </c>
      <c r="GJ6" s="2">
        <v>11.29</v>
      </c>
      <c r="GK6" s="2"/>
      <c r="GL6" s="2"/>
      <c r="HJ6">
        <v>1</v>
      </c>
      <c r="HL6">
        <f t="shared" si="2"/>
        <v>2.6900000000000013</v>
      </c>
      <c r="HM6" s="16">
        <f t="shared" si="3"/>
        <v>0.26792828685258979</v>
      </c>
      <c r="HN6">
        <f t="shared" si="4"/>
        <v>7.3999999999999995</v>
      </c>
      <c r="HO6" s="16">
        <f t="shared" si="5"/>
        <v>0.97112860892388442</v>
      </c>
      <c r="HP6" s="26">
        <f t="shared" si="6"/>
        <v>4.7099999999999982</v>
      </c>
      <c r="HR6" s="16"/>
      <c r="HT6">
        <f t="shared" si="7"/>
        <v>0</v>
      </c>
      <c r="HU6" s="28">
        <f t="shared" si="8"/>
        <v>0</v>
      </c>
      <c r="HV6">
        <f t="shared" si="9"/>
        <v>0</v>
      </c>
      <c r="HW6" s="28">
        <f t="shared" si="10"/>
        <v>0</v>
      </c>
    </row>
    <row r="7" spans="1:231" x14ac:dyDescent="0.35">
      <c r="A7" t="s">
        <v>295</v>
      </c>
      <c r="B7" t="s">
        <v>296</v>
      </c>
      <c r="C7" s="3">
        <v>28928</v>
      </c>
      <c r="D7" s="31">
        <v>43</v>
      </c>
      <c r="E7">
        <v>44</v>
      </c>
      <c r="F7">
        <v>51.5</v>
      </c>
      <c r="G7">
        <v>165</v>
      </c>
      <c r="H7">
        <f t="shared" si="0"/>
        <v>1.65</v>
      </c>
      <c r="I7">
        <f t="shared" si="1"/>
        <v>18.916437098255283</v>
      </c>
      <c r="J7">
        <v>0</v>
      </c>
      <c r="K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 t="s">
        <v>144</v>
      </c>
      <c r="AL7" s="3">
        <v>45063</v>
      </c>
      <c r="AM7" t="s">
        <v>297</v>
      </c>
      <c r="AO7">
        <v>0</v>
      </c>
      <c r="AP7">
        <v>0</v>
      </c>
      <c r="AQ7">
        <v>0</v>
      </c>
      <c r="AR7">
        <v>0</v>
      </c>
      <c r="AS7">
        <v>0</v>
      </c>
      <c r="AT7">
        <v>43</v>
      </c>
      <c r="AU7">
        <v>3</v>
      </c>
      <c r="AV7">
        <v>0</v>
      </c>
      <c r="AW7">
        <v>0</v>
      </c>
      <c r="AX7">
        <v>3</v>
      </c>
      <c r="AY7">
        <v>0</v>
      </c>
      <c r="AZ7">
        <v>0</v>
      </c>
      <c r="BA7">
        <v>0</v>
      </c>
      <c r="BB7">
        <v>4.54</v>
      </c>
      <c r="BC7">
        <v>9.6</v>
      </c>
      <c r="BD7">
        <v>240</v>
      </c>
      <c r="BE7">
        <v>87</v>
      </c>
      <c r="BF7">
        <v>6.9</v>
      </c>
      <c r="BG7">
        <v>78</v>
      </c>
      <c r="BH7">
        <v>142</v>
      </c>
      <c r="BI7">
        <v>111</v>
      </c>
      <c r="BJ7">
        <v>5</v>
      </c>
      <c r="BK7" t="s">
        <v>144</v>
      </c>
      <c r="BL7" t="s">
        <v>144</v>
      </c>
      <c r="BM7" t="s">
        <v>144</v>
      </c>
      <c r="BN7">
        <v>7.36</v>
      </c>
      <c r="BO7">
        <v>90</v>
      </c>
      <c r="BP7">
        <v>42</v>
      </c>
      <c r="BQ7">
        <v>24</v>
      </c>
      <c r="BR7">
        <v>0.4</v>
      </c>
      <c r="BS7">
        <v>97</v>
      </c>
      <c r="BT7" t="s">
        <v>144</v>
      </c>
      <c r="BU7">
        <v>115</v>
      </c>
      <c r="BV7">
        <v>81</v>
      </c>
      <c r="BW7">
        <v>499</v>
      </c>
      <c r="BX7">
        <v>175</v>
      </c>
      <c r="BY7" s="3">
        <v>45065</v>
      </c>
      <c r="BZ7">
        <v>48</v>
      </c>
      <c r="CA7">
        <v>52</v>
      </c>
      <c r="CB7">
        <v>3</v>
      </c>
      <c r="CC7">
        <v>0</v>
      </c>
      <c r="CD7">
        <v>0</v>
      </c>
      <c r="CE7">
        <v>3</v>
      </c>
      <c r="CF7">
        <v>0</v>
      </c>
      <c r="CG7">
        <v>0</v>
      </c>
      <c r="CH7">
        <v>0</v>
      </c>
      <c r="CI7">
        <v>7.17</v>
      </c>
      <c r="CJ7">
        <v>9.3000000000000007</v>
      </c>
      <c r="CK7">
        <v>295</v>
      </c>
      <c r="CL7">
        <v>88</v>
      </c>
      <c r="CM7">
        <v>4.2</v>
      </c>
      <c r="CN7">
        <v>86</v>
      </c>
      <c r="CO7">
        <v>144</v>
      </c>
      <c r="CP7">
        <v>110</v>
      </c>
      <c r="CQ7" t="s">
        <v>144</v>
      </c>
      <c r="CR7" t="s">
        <v>144</v>
      </c>
      <c r="CS7" t="s">
        <v>144</v>
      </c>
      <c r="CT7" t="s">
        <v>144</v>
      </c>
      <c r="CU7" t="s">
        <v>144</v>
      </c>
      <c r="CV7" t="s">
        <v>144</v>
      </c>
      <c r="CW7" t="s">
        <v>144</v>
      </c>
      <c r="CX7" t="s">
        <v>144</v>
      </c>
      <c r="CY7" t="s">
        <v>144</v>
      </c>
      <c r="CZ7">
        <v>92</v>
      </c>
      <c r="DA7" t="s">
        <v>144</v>
      </c>
      <c r="DB7">
        <v>115</v>
      </c>
      <c r="DC7">
        <v>81</v>
      </c>
      <c r="DD7">
        <v>373</v>
      </c>
      <c r="DE7">
        <v>571</v>
      </c>
      <c r="DF7">
        <v>2</v>
      </c>
      <c r="DG7">
        <v>1</v>
      </c>
      <c r="DH7">
        <v>500</v>
      </c>
      <c r="DI7">
        <v>1000</v>
      </c>
      <c r="DJ7">
        <v>1</v>
      </c>
      <c r="DK7">
        <v>0</v>
      </c>
      <c r="DM7">
        <v>0</v>
      </c>
      <c r="DN7">
        <v>0</v>
      </c>
      <c r="DO7">
        <v>0</v>
      </c>
      <c r="DP7">
        <v>250</v>
      </c>
      <c r="DQ7">
        <v>10</v>
      </c>
      <c r="DR7">
        <v>0</v>
      </c>
      <c r="DS7">
        <v>0</v>
      </c>
      <c r="DT7">
        <v>143</v>
      </c>
      <c r="DU7">
        <v>75</v>
      </c>
      <c r="DV7">
        <v>93</v>
      </c>
      <c r="DW7">
        <v>147</v>
      </c>
      <c r="DX7">
        <v>37.5</v>
      </c>
      <c r="DY7">
        <v>0</v>
      </c>
      <c r="DZ7">
        <v>1</v>
      </c>
      <c r="EA7">
        <v>0</v>
      </c>
      <c r="EB7">
        <v>5</v>
      </c>
      <c r="EC7">
        <v>30</v>
      </c>
      <c r="ED7">
        <v>60</v>
      </c>
      <c r="EE7">
        <v>6.3</v>
      </c>
      <c r="EF7">
        <v>50</v>
      </c>
      <c r="EG7">
        <v>12</v>
      </c>
      <c r="EH7">
        <v>100</v>
      </c>
      <c r="EI7">
        <v>0</v>
      </c>
      <c r="EJ7">
        <v>0</v>
      </c>
      <c r="EK7">
        <v>1.3</v>
      </c>
      <c r="EL7">
        <v>4.9000000000000004</v>
      </c>
      <c r="EM7" t="s">
        <v>144</v>
      </c>
      <c r="EN7" t="s">
        <v>144</v>
      </c>
      <c r="EO7" t="s">
        <v>144</v>
      </c>
      <c r="EP7">
        <v>3</v>
      </c>
      <c r="EQ7">
        <v>1.1000000000000001</v>
      </c>
      <c r="ER7">
        <v>478.99</v>
      </c>
      <c r="ES7">
        <v>12.9</v>
      </c>
      <c r="ET7">
        <v>441</v>
      </c>
      <c r="EU7">
        <v>518</v>
      </c>
      <c r="EV7">
        <v>137</v>
      </c>
      <c r="EW7">
        <v>76</v>
      </c>
      <c r="EX7">
        <v>93</v>
      </c>
      <c r="EY7">
        <v>138</v>
      </c>
      <c r="EZ7">
        <v>7</v>
      </c>
      <c r="FA7" t="s">
        <v>144</v>
      </c>
      <c r="FB7">
        <v>3</v>
      </c>
      <c r="FC7">
        <v>1.27</v>
      </c>
      <c r="FD7">
        <v>411.96</v>
      </c>
      <c r="FE7">
        <v>0.8</v>
      </c>
      <c r="FF7">
        <v>241</v>
      </c>
      <c r="FG7">
        <v>496</v>
      </c>
      <c r="FH7">
        <v>130</v>
      </c>
      <c r="FI7">
        <v>77</v>
      </c>
      <c r="FJ7">
        <v>91</v>
      </c>
      <c r="FK7">
        <v>142</v>
      </c>
      <c r="FL7">
        <v>5.8</v>
      </c>
      <c r="FM7" t="s">
        <v>144</v>
      </c>
      <c r="FN7">
        <v>3</v>
      </c>
      <c r="FO7">
        <v>0.8</v>
      </c>
      <c r="FP7">
        <v>431.6</v>
      </c>
      <c r="FQ7">
        <v>24.3</v>
      </c>
      <c r="FR7">
        <v>347</v>
      </c>
      <c r="FS7">
        <v>486</v>
      </c>
      <c r="FT7">
        <v>141</v>
      </c>
      <c r="FU7">
        <v>76</v>
      </c>
      <c r="FV7">
        <v>94</v>
      </c>
      <c r="FW7">
        <v>138</v>
      </c>
      <c r="FX7">
        <v>7.2</v>
      </c>
      <c r="FY7">
        <v>50</v>
      </c>
      <c r="FZ7">
        <v>1.7</v>
      </c>
      <c r="GA7">
        <v>7</v>
      </c>
      <c r="GB7">
        <v>15</v>
      </c>
      <c r="GC7">
        <v>100</v>
      </c>
      <c r="GD7" t="s">
        <v>144</v>
      </c>
      <c r="GE7">
        <v>3</v>
      </c>
      <c r="GF7">
        <v>1.4</v>
      </c>
      <c r="GG7">
        <v>356.7</v>
      </c>
      <c r="GH7">
        <v>22</v>
      </c>
      <c r="GI7">
        <v>287</v>
      </c>
      <c r="GJ7">
        <v>431</v>
      </c>
      <c r="GK7">
        <v>131</v>
      </c>
      <c r="GL7">
        <v>74</v>
      </c>
      <c r="GM7">
        <v>90</v>
      </c>
      <c r="GN7">
        <v>138</v>
      </c>
      <c r="GO7">
        <v>6.3</v>
      </c>
      <c r="GP7" t="s">
        <v>144</v>
      </c>
      <c r="GQ7">
        <v>2</v>
      </c>
      <c r="GR7">
        <v>0.6</v>
      </c>
      <c r="GS7">
        <v>459.9</v>
      </c>
      <c r="GT7">
        <v>18</v>
      </c>
      <c r="GU7">
        <v>397</v>
      </c>
      <c r="GV7">
        <v>525</v>
      </c>
      <c r="GW7">
        <v>125</v>
      </c>
      <c r="GX7">
        <v>76</v>
      </c>
      <c r="GY7">
        <v>89</v>
      </c>
      <c r="GZ7">
        <v>134</v>
      </c>
      <c r="HA7">
        <v>7</v>
      </c>
      <c r="HB7" t="s">
        <v>144</v>
      </c>
      <c r="HC7">
        <v>2</v>
      </c>
      <c r="HD7">
        <v>0.7</v>
      </c>
      <c r="HE7">
        <v>469.22</v>
      </c>
      <c r="HF7">
        <v>14.9</v>
      </c>
      <c r="HG7">
        <v>417</v>
      </c>
      <c r="HH7">
        <v>507</v>
      </c>
      <c r="HI7">
        <v>0</v>
      </c>
      <c r="HJ7">
        <v>0</v>
      </c>
      <c r="HL7">
        <f t="shared" si="2"/>
        <v>-67.03000000000003</v>
      </c>
      <c r="HM7" s="16">
        <f t="shared" si="3"/>
        <v>-0.13994029102904032</v>
      </c>
      <c r="HN7">
        <f t="shared" si="4"/>
        <v>-74.900000000000034</v>
      </c>
      <c r="HO7" s="16">
        <f t="shared" si="5"/>
        <v>-0.17354031510658025</v>
      </c>
      <c r="HP7" s="26">
        <f t="shared" si="6"/>
        <v>-7.8700000000000045</v>
      </c>
      <c r="HQ7">
        <f>HE7-FP7</f>
        <v>37.620000000000005</v>
      </c>
      <c r="HR7" s="16">
        <f>HQ7/FP7</f>
        <v>8.7164040778498611E-2</v>
      </c>
      <c r="HS7">
        <f>HE7-GG7</f>
        <v>112.52000000000004</v>
      </c>
      <c r="HT7">
        <f t="shared" si="7"/>
        <v>0.70000000000000018</v>
      </c>
      <c r="HU7" s="28">
        <f t="shared" si="8"/>
        <v>11.111111111111114</v>
      </c>
      <c r="HV7">
        <f t="shared" si="9"/>
        <v>1.4000000000000004</v>
      </c>
      <c r="HW7" s="29">
        <f t="shared" si="10"/>
        <v>24.137931034482765</v>
      </c>
    </row>
    <row r="8" spans="1:231" x14ac:dyDescent="0.35">
      <c r="A8" s="21" t="s">
        <v>178</v>
      </c>
      <c r="B8" s="21" t="s">
        <v>146</v>
      </c>
      <c r="C8" s="22">
        <v>16224</v>
      </c>
      <c r="D8" s="32">
        <v>68</v>
      </c>
      <c r="E8" s="21">
        <v>78</v>
      </c>
      <c r="F8" s="21">
        <v>60.8</v>
      </c>
      <c r="G8" s="21">
        <v>155</v>
      </c>
      <c r="H8">
        <f t="shared" si="0"/>
        <v>1.55</v>
      </c>
      <c r="I8">
        <f t="shared" si="1"/>
        <v>25.306971904266383</v>
      </c>
      <c r="J8" s="21">
        <v>1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 t="s">
        <v>179</v>
      </c>
      <c r="AD8" s="21">
        <v>0</v>
      </c>
      <c r="AE8" s="21">
        <v>0</v>
      </c>
      <c r="AF8" s="21">
        <v>0</v>
      </c>
      <c r="AG8" s="21" t="s">
        <v>176</v>
      </c>
      <c r="AH8" s="21">
        <v>0</v>
      </c>
      <c r="AI8" s="21">
        <v>0</v>
      </c>
      <c r="AJ8" s="21">
        <v>0</v>
      </c>
      <c r="AK8" s="21">
        <v>0</v>
      </c>
      <c r="AL8" s="22">
        <v>44968</v>
      </c>
      <c r="AM8" s="21" t="s">
        <v>180</v>
      </c>
      <c r="AN8" s="21"/>
      <c r="AO8" s="21">
        <v>1</v>
      </c>
      <c r="AP8" s="21">
        <v>1</v>
      </c>
      <c r="AQ8" s="21">
        <v>0</v>
      </c>
      <c r="AR8" s="21">
        <v>0</v>
      </c>
      <c r="AS8" s="21">
        <v>0</v>
      </c>
      <c r="AT8" s="21">
        <v>38</v>
      </c>
      <c r="AU8" s="21">
        <v>6</v>
      </c>
      <c r="AV8" s="21">
        <v>4</v>
      </c>
      <c r="AW8" s="21">
        <v>0</v>
      </c>
      <c r="AX8" s="21">
        <v>0</v>
      </c>
      <c r="AY8" s="21">
        <v>2</v>
      </c>
      <c r="AZ8" s="21">
        <v>0</v>
      </c>
      <c r="BA8" s="21">
        <v>0</v>
      </c>
      <c r="BB8" s="21">
        <v>29.72</v>
      </c>
      <c r="BC8" s="21">
        <v>15.2</v>
      </c>
      <c r="BD8" s="21">
        <v>368</v>
      </c>
      <c r="BE8" s="21">
        <v>64</v>
      </c>
      <c r="BF8" s="21">
        <v>17</v>
      </c>
      <c r="BG8" s="21">
        <v>237</v>
      </c>
      <c r="BH8" s="21">
        <v>135</v>
      </c>
      <c r="BI8" s="21">
        <v>98</v>
      </c>
      <c r="BJ8" s="21" t="s">
        <v>144</v>
      </c>
      <c r="BK8" s="21">
        <v>346</v>
      </c>
      <c r="BL8" s="21">
        <v>39.200000000000003</v>
      </c>
      <c r="BM8" s="21">
        <v>21</v>
      </c>
      <c r="BN8" s="21">
        <v>7.48</v>
      </c>
      <c r="BO8" s="21">
        <v>93</v>
      </c>
      <c r="BP8" s="21">
        <v>24</v>
      </c>
      <c r="BQ8" s="21">
        <v>18</v>
      </c>
      <c r="BR8" s="21">
        <v>3.8</v>
      </c>
      <c r="BS8" s="21" t="s">
        <v>144</v>
      </c>
      <c r="BT8" s="21" t="s">
        <v>144</v>
      </c>
      <c r="BU8" s="21">
        <v>51</v>
      </c>
      <c r="BV8" s="21">
        <v>35</v>
      </c>
      <c r="BW8" s="21" t="s">
        <v>144</v>
      </c>
      <c r="BX8" s="21">
        <v>253</v>
      </c>
      <c r="BY8" s="22">
        <v>44970</v>
      </c>
      <c r="BZ8" s="21">
        <v>36</v>
      </c>
      <c r="CA8" s="21">
        <v>61</v>
      </c>
      <c r="CB8" s="21">
        <v>7</v>
      </c>
      <c r="CC8" s="21">
        <v>4</v>
      </c>
      <c r="CD8" s="21">
        <v>0</v>
      </c>
      <c r="CE8" s="21">
        <v>0</v>
      </c>
      <c r="CF8" s="21">
        <v>2</v>
      </c>
      <c r="CG8" s="21">
        <v>1</v>
      </c>
      <c r="CH8" s="21">
        <v>0</v>
      </c>
      <c r="CI8" s="21">
        <v>31.48</v>
      </c>
      <c r="CJ8" s="21">
        <v>12.3</v>
      </c>
      <c r="CK8" s="21">
        <v>228</v>
      </c>
      <c r="CL8" s="21">
        <v>55</v>
      </c>
      <c r="CM8" s="21">
        <v>26.6</v>
      </c>
      <c r="CN8" s="21">
        <v>284</v>
      </c>
      <c r="CO8" s="21">
        <v>138</v>
      </c>
      <c r="CP8" s="21">
        <v>102</v>
      </c>
      <c r="CQ8" s="21">
        <v>20</v>
      </c>
      <c r="CR8" s="21" t="s">
        <v>144</v>
      </c>
      <c r="CS8" s="21" t="s">
        <v>144</v>
      </c>
      <c r="CT8" s="21">
        <v>21</v>
      </c>
      <c r="CU8" s="21">
        <v>7.38</v>
      </c>
      <c r="CV8" s="21">
        <v>88</v>
      </c>
      <c r="CW8" s="21">
        <v>29</v>
      </c>
      <c r="CX8" s="21">
        <v>17</v>
      </c>
      <c r="CY8" s="21">
        <v>2.2000000000000002</v>
      </c>
      <c r="CZ8" s="21">
        <v>42</v>
      </c>
      <c r="DA8" s="21">
        <v>37</v>
      </c>
      <c r="DB8" s="21">
        <v>2776</v>
      </c>
      <c r="DC8" s="21">
        <v>1254</v>
      </c>
      <c r="DD8" s="21">
        <v>3537</v>
      </c>
      <c r="DE8" s="21">
        <v>324</v>
      </c>
      <c r="DF8" s="21" t="s">
        <v>182</v>
      </c>
      <c r="DG8" s="21">
        <v>2</v>
      </c>
      <c r="DH8" s="21">
        <v>100</v>
      </c>
      <c r="DI8" s="21">
        <v>3000</v>
      </c>
      <c r="DJ8" s="21">
        <v>1</v>
      </c>
      <c r="DK8" s="21">
        <v>0</v>
      </c>
      <c r="DL8" s="21">
        <v>0.1</v>
      </c>
      <c r="DM8" s="21">
        <v>1</v>
      </c>
      <c r="DN8" s="21">
        <v>0</v>
      </c>
      <c r="DO8" s="21">
        <v>0</v>
      </c>
      <c r="DP8" s="21">
        <v>0</v>
      </c>
      <c r="DQ8" s="21">
        <v>0</v>
      </c>
      <c r="DR8" s="21">
        <v>0</v>
      </c>
      <c r="DS8" s="21">
        <v>0</v>
      </c>
      <c r="DT8" s="21">
        <v>125</v>
      </c>
      <c r="DU8" s="21">
        <v>58</v>
      </c>
      <c r="DV8" s="21">
        <v>75</v>
      </c>
      <c r="DW8" s="21">
        <v>145</v>
      </c>
      <c r="DX8" s="21">
        <v>36.200000000000003</v>
      </c>
      <c r="DY8" s="21">
        <v>1</v>
      </c>
      <c r="DZ8" s="21">
        <v>0</v>
      </c>
      <c r="EA8" s="21">
        <v>0</v>
      </c>
      <c r="EB8" s="21" t="s">
        <v>176</v>
      </c>
      <c r="EC8" s="21" t="s">
        <v>176</v>
      </c>
      <c r="ED8" s="21">
        <v>2</v>
      </c>
      <c r="EE8" s="21">
        <v>3.7</v>
      </c>
      <c r="EF8" s="21">
        <v>50</v>
      </c>
      <c r="EG8" s="21">
        <v>15</v>
      </c>
      <c r="EH8" s="21">
        <v>0</v>
      </c>
      <c r="EI8" s="21">
        <v>0</v>
      </c>
      <c r="EJ8" s="21">
        <v>0</v>
      </c>
      <c r="EK8" s="21" t="s">
        <v>176</v>
      </c>
      <c r="EL8" s="21" t="s">
        <v>176</v>
      </c>
      <c r="EM8" s="21" t="s">
        <v>176</v>
      </c>
      <c r="EN8" s="21" t="s">
        <v>176</v>
      </c>
      <c r="EO8" s="21" t="s">
        <v>176</v>
      </c>
      <c r="EP8" s="21">
        <v>1</v>
      </c>
      <c r="EQ8" s="21">
        <v>5.01</v>
      </c>
      <c r="ER8" s="21">
        <v>23.68</v>
      </c>
      <c r="ES8" s="21">
        <v>6.07</v>
      </c>
      <c r="ET8" s="21">
        <v>12.73</v>
      </c>
      <c r="EU8" s="21">
        <v>51.97</v>
      </c>
      <c r="EV8" s="21">
        <v>115</v>
      </c>
      <c r="EW8" s="21">
        <v>55</v>
      </c>
      <c r="EX8" s="21">
        <v>67</v>
      </c>
      <c r="EY8" s="21">
        <v>160</v>
      </c>
      <c r="EZ8" s="21">
        <v>4.8</v>
      </c>
      <c r="FA8" s="21" t="s">
        <v>144</v>
      </c>
      <c r="FB8" s="21">
        <v>0</v>
      </c>
      <c r="FC8" s="21">
        <v>2.25</v>
      </c>
      <c r="FD8" s="21">
        <v>55.07</v>
      </c>
      <c r="FE8" s="21">
        <v>35.04</v>
      </c>
      <c r="FF8" s="21">
        <v>23.62</v>
      </c>
      <c r="FG8" s="21">
        <v>62.79</v>
      </c>
      <c r="FH8" s="21">
        <v>117</v>
      </c>
      <c r="FI8" s="21">
        <v>55</v>
      </c>
      <c r="FJ8" s="21">
        <v>66</v>
      </c>
      <c r="FK8" s="21">
        <v>165</v>
      </c>
      <c r="FL8" s="21">
        <v>3.9</v>
      </c>
      <c r="FM8" s="21" t="s">
        <v>144</v>
      </c>
      <c r="FN8" s="21">
        <v>1</v>
      </c>
      <c r="FO8" s="21">
        <v>3.21</v>
      </c>
      <c r="FP8" s="21">
        <v>37.57</v>
      </c>
      <c r="FQ8" s="21">
        <v>28.45</v>
      </c>
      <c r="FR8" s="21">
        <v>13.46</v>
      </c>
      <c r="FS8" s="21">
        <v>260.99</v>
      </c>
      <c r="FT8" s="21">
        <v>106</v>
      </c>
      <c r="FU8" s="21">
        <v>50</v>
      </c>
      <c r="FV8" s="21">
        <v>62</v>
      </c>
      <c r="FW8" s="21">
        <v>153</v>
      </c>
      <c r="FX8" s="21">
        <v>4.7</v>
      </c>
      <c r="FY8" s="21"/>
      <c r="FZ8" s="21"/>
      <c r="GA8" s="21"/>
      <c r="GB8" s="21"/>
      <c r="GC8" s="21"/>
      <c r="GD8" s="21" t="s">
        <v>144</v>
      </c>
      <c r="GE8" s="21">
        <v>0</v>
      </c>
      <c r="GF8" s="21">
        <v>2.5499999999999998</v>
      </c>
      <c r="GG8" s="21">
        <v>47.32</v>
      </c>
      <c r="GH8" s="21">
        <v>11.77</v>
      </c>
      <c r="GI8" s="21">
        <v>27.56</v>
      </c>
      <c r="GJ8" s="21">
        <v>110.78</v>
      </c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>
        <f t="shared" si="2"/>
        <v>31.39</v>
      </c>
      <c r="HM8" s="23">
        <f t="shared" si="3"/>
        <v>1.3255912162162162</v>
      </c>
      <c r="HN8" s="21">
        <f t="shared" si="4"/>
        <v>9.75</v>
      </c>
      <c r="HO8" s="23">
        <f t="shared" si="5"/>
        <v>0.25951557093425603</v>
      </c>
      <c r="HP8" s="26">
        <f t="shared" si="6"/>
        <v>-21.64</v>
      </c>
      <c r="HR8" s="23"/>
      <c r="HS8" s="21"/>
      <c r="HT8">
        <f t="shared" si="7"/>
        <v>1.0999999999999996</v>
      </c>
      <c r="HU8" s="28">
        <f t="shared" si="8"/>
        <v>29.729729729729719</v>
      </c>
      <c r="HV8">
        <f t="shared" si="9"/>
        <v>0.80000000000000027</v>
      </c>
      <c r="HW8" s="29">
        <f t="shared" si="10"/>
        <v>20.512820512820522</v>
      </c>
    </row>
    <row r="9" spans="1:231" x14ac:dyDescent="0.35">
      <c r="A9" t="s">
        <v>200</v>
      </c>
      <c r="B9" t="s">
        <v>201</v>
      </c>
      <c r="C9" s="3">
        <v>27445</v>
      </c>
      <c r="D9" s="31">
        <v>79</v>
      </c>
      <c r="E9">
        <v>48</v>
      </c>
      <c r="F9">
        <v>91.1</v>
      </c>
      <c r="G9">
        <v>175</v>
      </c>
      <c r="H9">
        <f t="shared" si="0"/>
        <v>1.75</v>
      </c>
      <c r="I9">
        <f t="shared" si="1"/>
        <v>29.746938775510202</v>
      </c>
      <c r="J9">
        <v>1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144</v>
      </c>
      <c r="AH9">
        <v>0</v>
      </c>
      <c r="AI9">
        <v>0</v>
      </c>
      <c r="AJ9">
        <v>0</v>
      </c>
      <c r="AK9">
        <v>0</v>
      </c>
      <c r="AL9" s="3">
        <v>44988</v>
      </c>
      <c r="AM9" t="s">
        <v>202</v>
      </c>
      <c r="AO9">
        <v>1</v>
      </c>
      <c r="AP9">
        <v>1</v>
      </c>
      <c r="AQ9">
        <v>0</v>
      </c>
      <c r="AR9">
        <v>0</v>
      </c>
      <c r="AS9">
        <v>0</v>
      </c>
      <c r="AT9">
        <v>71</v>
      </c>
      <c r="AU9">
        <v>8</v>
      </c>
      <c r="AV9">
        <v>1</v>
      </c>
      <c r="AW9">
        <v>0</v>
      </c>
      <c r="AX9">
        <v>4</v>
      </c>
      <c r="AY9">
        <v>3</v>
      </c>
      <c r="AZ9">
        <v>0</v>
      </c>
      <c r="BA9">
        <v>0</v>
      </c>
      <c r="BB9">
        <v>16.829999999999998</v>
      </c>
      <c r="BC9">
        <v>12.5</v>
      </c>
      <c r="BD9">
        <v>298</v>
      </c>
      <c r="BE9">
        <v>55</v>
      </c>
      <c r="BF9">
        <v>3.9</v>
      </c>
      <c r="BG9">
        <v>37</v>
      </c>
      <c r="BH9">
        <v>142</v>
      </c>
      <c r="BI9">
        <v>109</v>
      </c>
      <c r="BJ9">
        <v>7</v>
      </c>
      <c r="BK9">
        <v>18.899999999999999</v>
      </c>
      <c r="BL9">
        <v>0.33</v>
      </c>
      <c r="BM9" t="s">
        <v>144</v>
      </c>
      <c r="BN9">
        <v>6.94</v>
      </c>
      <c r="BO9">
        <v>189</v>
      </c>
      <c r="BP9">
        <v>15</v>
      </c>
      <c r="BQ9">
        <v>3</v>
      </c>
      <c r="BR9">
        <v>2.1</v>
      </c>
      <c r="BS9">
        <v>69</v>
      </c>
      <c r="BT9">
        <v>110</v>
      </c>
      <c r="BU9">
        <v>14</v>
      </c>
      <c r="BV9">
        <v>15</v>
      </c>
      <c r="BW9">
        <v>536</v>
      </c>
      <c r="BX9">
        <v>43</v>
      </c>
      <c r="BY9" s="3">
        <v>44988</v>
      </c>
      <c r="BZ9">
        <v>2</v>
      </c>
      <c r="CA9">
        <v>91</v>
      </c>
      <c r="CB9">
        <v>8</v>
      </c>
      <c r="CC9">
        <v>1</v>
      </c>
      <c r="CD9">
        <v>0</v>
      </c>
      <c r="CE9">
        <v>4</v>
      </c>
      <c r="CF9">
        <v>3</v>
      </c>
      <c r="CG9">
        <v>0</v>
      </c>
      <c r="CH9">
        <v>0</v>
      </c>
      <c r="CI9">
        <v>16.829999999999998</v>
      </c>
      <c r="CJ9">
        <v>12.5</v>
      </c>
      <c r="CK9">
        <v>298</v>
      </c>
      <c r="CL9">
        <v>55</v>
      </c>
      <c r="CM9">
        <v>3.9</v>
      </c>
      <c r="CN9">
        <v>37</v>
      </c>
      <c r="CO9">
        <v>142</v>
      </c>
      <c r="CP9">
        <v>109</v>
      </c>
      <c r="CQ9">
        <v>7</v>
      </c>
      <c r="CR9">
        <v>18.899999999999999</v>
      </c>
      <c r="CS9">
        <v>0.33</v>
      </c>
      <c r="CT9" t="s">
        <v>144</v>
      </c>
      <c r="CU9">
        <v>6.94</v>
      </c>
      <c r="CV9">
        <v>189</v>
      </c>
      <c r="CW9">
        <v>15</v>
      </c>
      <c r="CX9">
        <v>3</v>
      </c>
      <c r="CY9">
        <v>2.1</v>
      </c>
      <c r="CZ9">
        <v>69</v>
      </c>
      <c r="DA9">
        <v>110</v>
      </c>
      <c r="DB9">
        <v>14</v>
      </c>
      <c r="DC9">
        <v>15</v>
      </c>
      <c r="DD9">
        <v>536</v>
      </c>
      <c r="DE9">
        <v>43</v>
      </c>
      <c r="DF9">
        <v>1</v>
      </c>
      <c r="DG9">
        <v>1</v>
      </c>
      <c r="DH9">
        <v>500</v>
      </c>
      <c r="DI9">
        <v>1500</v>
      </c>
      <c r="DJ9">
        <v>1</v>
      </c>
      <c r="DK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86</v>
      </c>
      <c r="DU9">
        <v>46</v>
      </c>
      <c r="DV9">
        <v>59</v>
      </c>
      <c r="DW9">
        <v>134</v>
      </c>
      <c r="DX9">
        <v>35.6</v>
      </c>
      <c r="DY9">
        <v>1</v>
      </c>
      <c r="DZ9">
        <v>0</v>
      </c>
      <c r="EA9">
        <v>0</v>
      </c>
      <c r="EB9" t="s">
        <v>176</v>
      </c>
      <c r="EC9" t="s">
        <v>176</v>
      </c>
      <c r="ED9">
        <v>2</v>
      </c>
      <c r="EE9">
        <v>3.2</v>
      </c>
      <c r="EF9">
        <v>30</v>
      </c>
      <c r="EG9">
        <v>15</v>
      </c>
      <c r="EH9">
        <v>0</v>
      </c>
      <c r="EI9">
        <v>0</v>
      </c>
      <c r="EJ9">
        <v>0</v>
      </c>
      <c r="EK9">
        <v>0.9</v>
      </c>
      <c r="EL9" t="s">
        <v>176</v>
      </c>
      <c r="EM9" t="s">
        <v>144</v>
      </c>
      <c r="EN9" t="s">
        <v>144</v>
      </c>
      <c r="EO9" t="s">
        <v>144</v>
      </c>
      <c r="EP9">
        <v>5</v>
      </c>
      <c r="EQ9">
        <v>8.49</v>
      </c>
      <c r="ER9">
        <v>6.3</v>
      </c>
      <c r="ES9">
        <v>0.64</v>
      </c>
      <c r="ET9">
        <v>5.25</v>
      </c>
      <c r="EU9">
        <v>11.14</v>
      </c>
      <c r="EV9">
        <v>56</v>
      </c>
      <c r="EW9">
        <v>40</v>
      </c>
      <c r="EX9">
        <v>48</v>
      </c>
      <c r="EY9">
        <v>127</v>
      </c>
      <c r="EZ9">
        <v>3.6</v>
      </c>
      <c r="FA9" t="s">
        <v>144</v>
      </c>
      <c r="FB9">
        <v>3</v>
      </c>
      <c r="FC9">
        <v>6.36</v>
      </c>
      <c r="FD9">
        <v>13</v>
      </c>
      <c r="FE9">
        <v>4.5</v>
      </c>
      <c r="FF9">
        <v>6.84</v>
      </c>
      <c r="FG9">
        <v>32.869999999999997</v>
      </c>
      <c r="FH9">
        <v>89</v>
      </c>
      <c r="FI9">
        <v>64</v>
      </c>
      <c r="FJ9">
        <v>73</v>
      </c>
      <c r="FK9">
        <v>133</v>
      </c>
      <c r="FL9">
        <v>3.3</v>
      </c>
      <c r="FM9" t="s">
        <v>144</v>
      </c>
      <c r="FN9">
        <v>5</v>
      </c>
      <c r="FO9">
        <v>7.59</v>
      </c>
      <c r="FP9">
        <v>6.29</v>
      </c>
      <c r="FQ9">
        <v>1.17</v>
      </c>
      <c r="FR9">
        <v>4.46</v>
      </c>
      <c r="FS9">
        <v>11.84</v>
      </c>
      <c r="FT9">
        <v>89</v>
      </c>
      <c r="FU9">
        <v>53</v>
      </c>
      <c r="FV9">
        <v>64</v>
      </c>
      <c r="FW9">
        <v>122</v>
      </c>
      <c r="FX9">
        <v>3.5</v>
      </c>
      <c r="GD9" t="s">
        <v>144</v>
      </c>
      <c r="GE9">
        <v>4</v>
      </c>
      <c r="GF9">
        <v>6.26</v>
      </c>
      <c r="GG9">
        <v>14.74</v>
      </c>
      <c r="GH9">
        <v>8.85</v>
      </c>
      <c r="GI9">
        <v>7.78</v>
      </c>
      <c r="GJ9">
        <v>119.11</v>
      </c>
      <c r="HJ9">
        <v>1</v>
      </c>
      <c r="HK9" s="3">
        <v>45017</v>
      </c>
      <c r="HL9">
        <f t="shared" si="2"/>
        <v>6.7</v>
      </c>
      <c r="HM9" s="16">
        <f t="shared" si="3"/>
        <v>1.0634920634920635</v>
      </c>
      <c r="HN9">
        <f t="shared" si="4"/>
        <v>8.4499999999999993</v>
      </c>
      <c r="HO9" s="16">
        <f t="shared" si="5"/>
        <v>1.3434022257551668</v>
      </c>
      <c r="HP9" s="26">
        <f t="shared" si="6"/>
        <v>1.7499999999999991</v>
      </c>
      <c r="HR9" s="16"/>
      <c r="HT9">
        <f t="shared" si="7"/>
        <v>0.39999999999999991</v>
      </c>
      <c r="HU9" s="28">
        <f t="shared" si="8"/>
        <v>12.499999999999996</v>
      </c>
      <c r="HV9">
        <f t="shared" si="9"/>
        <v>0.20000000000000018</v>
      </c>
      <c r="HW9" s="28">
        <f t="shared" si="10"/>
        <v>6.0606060606060659</v>
      </c>
    </row>
    <row r="10" spans="1:231" x14ac:dyDescent="0.35">
      <c r="A10" t="s">
        <v>370</v>
      </c>
      <c r="B10" t="s">
        <v>371</v>
      </c>
      <c r="C10" s="3">
        <v>16483</v>
      </c>
      <c r="D10" s="31">
        <v>81</v>
      </c>
      <c r="E10">
        <v>78</v>
      </c>
      <c r="G10">
        <v>173</v>
      </c>
      <c r="H10">
        <f t="shared" si="0"/>
        <v>1.73</v>
      </c>
      <c r="I10">
        <f t="shared" si="1"/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L10" s="3">
        <v>45214</v>
      </c>
      <c r="AM10" t="s">
        <v>383</v>
      </c>
      <c r="AO10">
        <v>1</v>
      </c>
      <c r="AP10">
        <v>1</v>
      </c>
      <c r="AQ10">
        <v>0</v>
      </c>
      <c r="AR10">
        <v>0</v>
      </c>
      <c r="AS10">
        <v>0</v>
      </c>
      <c r="AU10">
        <v>12</v>
      </c>
      <c r="AV10">
        <v>1</v>
      </c>
      <c r="AW10">
        <v>0</v>
      </c>
      <c r="AX10">
        <v>0</v>
      </c>
      <c r="AY10">
        <v>4</v>
      </c>
      <c r="AZ10">
        <v>4</v>
      </c>
      <c r="BA10">
        <v>3</v>
      </c>
      <c r="BB10">
        <v>16.7</v>
      </c>
      <c r="BC10">
        <v>9</v>
      </c>
      <c r="BD10">
        <v>27</v>
      </c>
      <c r="BE10">
        <v>54</v>
      </c>
      <c r="BF10">
        <v>33</v>
      </c>
      <c r="BG10">
        <v>591</v>
      </c>
      <c r="BH10">
        <v>132</v>
      </c>
      <c r="BI10">
        <v>100</v>
      </c>
      <c r="BJ10">
        <v>420</v>
      </c>
      <c r="BN10">
        <v>7.33</v>
      </c>
      <c r="BO10">
        <v>119</v>
      </c>
      <c r="BP10">
        <v>40</v>
      </c>
      <c r="BQ10">
        <v>21</v>
      </c>
      <c r="BR10">
        <v>1.4</v>
      </c>
      <c r="BS10">
        <v>65</v>
      </c>
      <c r="BT10">
        <v>167</v>
      </c>
      <c r="BU10">
        <v>410</v>
      </c>
      <c r="BV10">
        <v>227</v>
      </c>
      <c r="BY10" s="3">
        <v>45216</v>
      </c>
      <c r="BZ10">
        <v>13</v>
      </c>
      <c r="CB10">
        <v>11</v>
      </c>
      <c r="CC10">
        <v>0</v>
      </c>
      <c r="CD10">
        <v>0</v>
      </c>
      <c r="CE10">
        <v>0</v>
      </c>
      <c r="CF10">
        <v>4</v>
      </c>
      <c r="CG10">
        <v>4</v>
      </c>
      <c r="CH10">
        <v>3</v>
      </c>
      <c r="CI10">
        <v>14.3</v>
      </c>
      <c r="CJ10">
        <v>7.9</v>
      </c>
      <c r="CK10">
        <v>43</v>
      </c>
      <c r="CL10">
        <v>137</v>
      </c>
      <c r="CM10">
        <v>33</v>
      </c>
      <c r="CN10">
        <v>591</v>
      </c>
      <c r="CO10">
        <v>137</v>
      </c>
      <c r="CP10">
        <v>103</v>
      </c>
      <c r="CQ10">
        <v>452</v>
      </c>
      <c r="CZ10">
        <v>56</v>
      </c>
      <c r="DA10">
        <v>127</v>
      </c>
      <c r="DB10">
        <v>189</v>
      </c>
      <c r="DC10">
        <v>144</v>
      </c>
      <c r="DD10">
        <v>857</v>
      </c>
      <c r="DE10">
        <v>104</v>
      </c>
      <c r="DF10">
        <v>2</v>
      </c>
      <c r="DG10">
        <v>2</v>
      </c>
      <c r="DH10">
        <v>100</v>
      </c>
      <c r="DI10">
        <v>500</v>
      </c>
      <c r="DJ10">
        <v>1</v>
      </c>
      <c r="DK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127</v>
      </c>
      <c r="DU10">
        <v>75</v>
      </c>
      <c r="DV10">
        <v>90</v>
      </c>
      <c r="DW10">
        <v>78</v>
      </c>
      <c r="DX10">
        <v>37.1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2</v>
      </c>
      <c r="EQ10">
        <v>2.5</v>
      </c>
      <c r="ER10">
        <v>86.68</v>
      </c>
      <c r="EV10">
        <v>127</v>
      </c>
      <c r="EW10">
        <v>85</v>
      </c>
      <c r="EX10">
        <v>96</v>
      </c>
      <c r="EY10">
        <v>76</v>
      </c>
      <c r="FC10">
        <v>2.8</v>
      </c>
      <c r="FD10">
        <v>73.22</v>
      </c>
      <c r="FH10">
        <v>135</v>
      </c>
      <c r="FI10">
        <v>91</v>
      </c>
      <c r="FJ10">
        <v>94</v>
      </c>
      <c r="FK10">
        <v>76</v>
      </c>
      <c r="FO10">
        <v>2.1</v>
      </c>
      <c r="FP10">
        <v>105.49</v>
      </c>
      <c r="FT10">
        <v>147</v>
      </c>
      <c r="FU10">
        <v>79</v>
      </c>
      <c r="FV10">
        <v>97</v>
      </c>
      <c r="FW10">
        <v>72</v>
      </c>
      <c r="GF10">
        <v>1.8</v>
      </c>
      <c r="GG10">
        <v>77.89</v>
      </c>
      <c r="HL10">
        <f t="shared" si="2"/>
        <v>-13.460000000000008</v>
      </c>
      <c r="HM10" s="16">
        <f t="shared" si="3"/>
        <v>-0.15528380249192439</v>
      </c>
      <c r="HN10">
        <f t="shared" si="4"/>
        <v>-27.599999999999994</v>
      </c>
      <c r="HO10" s="16">
        <f t="shared" si="5"/>
        <v>-0.26163617404493311</v>
      </c>
      <c r="HP10" s="26">
        <f t="shared" si="6"/>
        <v>-14.139999999999986</v>
      </c>
      <c r="HU10" s="28"/>
      <c r="HW10" s="28"/>
    </row>
    <row r="11" spans="1:231" x14ac:dyDescent="0.35">
      <c r="A11" t="s">
        <v>192</v>
      </c>
      <c r="B11" t="s">
        <v>193</v>
      </c>
      <c r="C11" s="3">
        <v>20637</v>
      </c>
      <c r="D11" s="31">
        <v>62</v>
      </c>
      <c r="E11">
        <v>66</v>
      </c>
      <c r="F11">
        <v>69</v>
      </c>
      <c r="G11">
        <v>176</v>
      </c>
      <c r="H11">
        <f t="shared" si="0"/>
        <v>1.76</v>
      </c>
      <c r="I11">
        <f t="shared" si="1"/>
        <v>22.275309917355372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144</v>
      </c>
      <c r="AH11">
        <v>0</v>
      </c>
      <c r="AI11">
        <v>0</v>
      </c>
      <c r="AJ11">
        <v>0</v>
      </c>
      <c r="AK11">
        <v>0</v>
      </c>
      <c r="AL11" s="3">
        <v>44953</v>
      </c>
      <c r="AM11" t="s">
        <v>194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58</v>
      </c>
      <c r="AU11">
        <v>11</v>
      </c>
      <c r="AV11">
        <v>4</v>
      </c>
      <c r="AW11">
        <v>0</v>
      </c>
      <c r="AX11">
        <v>1</v>
      </c>
      <c r="AY11">
        <v>4</v>
      </c>
      <c r="AZ11">
        <v>0</v>
      </c>
      <c r="BA11">
        <v>0</v>
      </c>
      <c r="BB11">
        <v>2.75</v>
      </c>
      <c r="BC11">
        <v>12.9</v>
      </c>
      <c r="BD11">
        <v>191</v>
      </c>
      <c r="BE11">
        <v>43</v>
      </c>
      <c r="BF11">
        <v>14.3</v>
      </c>
      <c r="BG11">
        <v>319</v>
      </c>
      <c r="BH11">
        <v>141</v>
      </c>
      <c r="BI11">
        <v>104</v>
      </c>
      <c r="BJ11">
        <v>7</v>
      </c>
      <c r="BK11">
        <v>290</v>
      </c>
      <c r="BL11">
        <v>148</v>
      </c>
      <c r="BM11" t="s">
        <v>144</v>
      </c>
      <c r="BN11">
        <v>7.26</v>
      </c>
      <c r="BO11">
        <v>224</v>
      </c>
      <c r="BP11">
        <v>32</v>
      </c>
      <c r="BQ11">
        <v>15</v>
      </c>
      <c r="BR11">
        <v>8</v>
      </c>
      <c r="BS11">
        <v>40</v>
      </c>
      <c r="BT11">
        <v>45</v>
      </c>
      <c r="BU11">
        <v>142</v>
      </c>
      <c r="BV11">
        <v>39</v>
      </c>
      <c r="BW11">
        <v>596</v>
      </c>
      <c r="BX11">
        <v>6260</v>
      </c>
      <c r="BY11" s="3">
        <v>44953</v>
      </c>
      <c r="BZ11">
        <v>7</v>
      </c>
      <c r="CA11">
        <v>69</v>
      </c>
      <c r="CB11">
        <v>11</v>
      </c>
      <c r="CC11">
        <v>4</v>
      </c>
      <c r="CD11">
        <v>2</v>
      </c>
      <c r="CE11">
        <v>1</v>
      </c>
      <c r="CF11">
        <v>4</v>
      </c>
      <c r="CG11">
        <v>0</v>
      </c>
      <c r="CH11">
        <v>0</v>
      </c>
      <c r="CI11">
        <v>3.28</v>
      </c>
      <c r="CJ11">
        <v>12.9</v>
      </c>
      <c r="CK11">
        <v>194</v>
      </c>
      <c r="CL11">
        <v>42</v>
      </c>
      <c r="CM11">
        <v>15.5</v>
      </c>
      <c r="CN11">
        <v>320</v>
      </c>
      <c r="CO11">
        <v>138</v>
      </c>
      <c r="CP11">
        <v>104</v>
      </c>
      <c r="CQ11">
        <v>10</v>
      </c>
      <c r="CR11">
        <v>290</v>
      </c>
      <c r="CS11">
        <v>148</v>
      </c>
      <c r="CT11" t="s">
        <v>144</v>
      </c>
      <c r="CU11">
        <v>7.02</v>
      </c>
      <c r="CV11">
        <v>206</v>
      </c>
      <c r="CW11">
        <v>27</v>
      </c>
      <c r="CX11">
        <v>8</v>
      </c>
      <c r="CY11">
        <v>14</v>
      </c>
      <c r="CZ11">
        <v>34</v>
      </c>
      <c r="DA11">
        <v>47</v>
      </c>
      <c r="DB11">
        <v>293</v>
      </c>
      <c r="DC11">
        <v>79</v>
      </c>
      <c r="DD11">
        <v>950</v>
      </c>
      <c r="DE11">
        <v>12750</v>
      </c>
      <c r="DF11">
        <v>1</v>
      </c>
      <c r="DG11">
        <v>1</v>
      </c>
      <c r="DH11">
        <v>500</v>
      </c>
      <c r="DI11">
        <v>4500</v>
      </c>
      <c r="DJ11">
        <v>1</v>
      </c>
      <c r="DK11">
        <v>2</v>
      </c>
      <c r="DL11">
        <v>0.4</v>
      </c>
      <c r="DM11">
        <v>1</v>
      </c>
      <c r="DN11">
        <v>0</v>
      </c>
      <c r="DO11">
        <v>0</v>
      </c>
      <c r="DP11">
        <v>50</v>
      </c>
      <c r="DQ11">
        <v>5</v>
      </c>
      <c r="DR11">
        <v>0</v>
      </c>
      <c r="DS11">
        <v>0</v>
      </c>
      <c r="DT11">
        <v>96</v>
      </c>
      <c r="DU11">
        <v>50</v>
      </c>
      <c r="DV11">
        <v>65</v>
      </c>
      <c r="DW11">
        <v>102</v>
      </c>
      <c r="DX11">
        <v>34.200000000000003</v>
      </c>
      <c r="DY11">
        <v>0</v>
      </c>
      <c r="DZ11">
        <v>0</v>
      </c>
      <c r="EA11">
        <v>1</v>
      </c>
      <c r="EB11">
        <v>5</v>
      </c>
      <c r="EC11">
        <v>100</v>
      </c>
      <c r="ED11">
        <v>60</v>
      </c>
      <c r="EE11">
        <v>2.8</v>
      </c>
      <c r="EF11">
        <v>40</v>
      </c>
      <c r="EG11">
        <v>9</v>
      </c>
      <c r="EH11">
        <v>50</v>
      </c>
      <c r="EI11">
        <v>0</v>
      </c>
      <c r="EJ11">
        <v>0</v>
      </c>
      <c r="EK11">
        <v>0.9</v>
      </c>
      <c r="EL11">
        <v>5.0999999999999996</v>
      </c>
      <c r="EM11">
        <v>19</v>
      </c>
      <c r="EN11" t="s">
        <v>144</v>
      </c>
      <c r="EO11">
        <v>8</v>
      </c>
      <c r="EP11">
        <v>5</v>
      </c>
      <c r="EQ11">
        <v>5.51</v>
      </c>
      <c r="ER11">
        <v>7.93</v>
      </c>
      <c r="ES11">
        <v>0.36</v>
      </c>
      <c r="ET11">
        <v>7.26</v>
      </c>
      <c r="EU11">
        <v>10.56</v>
      </c>
      <c r="EV11">
        <v>193</v>
      </c>
      <c r="EW11">
        <v>63</v>
      </c>
      <c r="EX11">
        <v>105</v>
      </c>
      <c r="EY11">
        <v>105</v>
      </c>
      <c r="EZ11">
        <v>4.5</v>
      </c>
      <c r="FA11">
        <v>20</v>
      </c>
      <c r="FB11">
        <v>3</v>
      </c>
      <c r="FC11">
        <v>3.17</v>
      </c>
      <c r="FD11">
        <v>15.02</v>
      </c>
      <c r="FE11">
        <v>9.57</v>
      </c>
      <c r="FF11">
        <v>7.66</v>
      </c>
      <c r="FG11">
        <v>90.09</v>
      </c>
      <c r="FH11" t="s">
        <v>144</v>
      </c>
      <c r="FI11" t="s">
        <v>144</v>
      </c>
      <c r="FJ11" t="s">
        <v>144</v>
      </c>
      <c r="FK11" t="s">
        <v>144</v>
      </c>
      <c r="FL11" t="s">
        <v>144</v>
      </c>
      <c r="FM11" t="s">
        <v>144</v>
      </c>
      <c r="FN11" t="s">
        <v>144</v>
      </c>
      <c r="FO11" t="s">
        <v>144</v>
      </c>
      <c r="FP11" t="s">
        <v>144</v>
      </c>
      <c r="FQ11" t="s">
        <v>144</v>
      </c>
      <c r="FR11" t="s">
        <v>144</v>
      </c>
      <c r="FS11" t="s">
        <v>144</v>
      </c>
      <c r="FT11">
        <v>138</v>
      </c>
      <c r="FU11">
        <v>47</v>
      </c>
      <c r="FV11">
        <v>77</v>
      </c>
      <c r="FW11">
        <v>109</v>
      </c>
      <c r="FX11">
        <v>5.6</v>
      </c>
      <c r="GD11">
        <v>10</v>
      </c>
      <c r="GE11">
        <v>0</v>
      </c>
      <c r="GF11">
        <v>2.58</v>
      </c>
      <c r="GG11">
        <v>26.06</v>
      </c>
      <c r="GH11">
        <v>1.8</v>
      </c>
      <c r="GI11">
        <v>22.9</v>
      </c>
      <c r="GJ11">
        <v>40.47</v>
      </c>
      <c r="HL11">
        <f t="shared" si="2"/>
        <v>7.09</v>
      </c>
      <c r="HM11" s="16">
        <f t="shared" si="3"/>
        <v>0.89407313997477933</v>
      </c>
      <c r="HN11">
        <f>GG11-FD11</f>
        <v>11.04</v>
      </c>
      <c r="HO11" s="16">
        <f>HN11/FD11</f>
        <v>0.73501997336884151</v>
      </c>
      <c r="HP11" s="26">
        <f t="shared" si="6"/>
        <v>3.9499999999999993</v>
      </c>
      <c r="HR11" s="16">
        <f>HQ11/FD11</f>
        <v>0</v>
      </c>
      <c r="HS11">
        <f>HE11-GG11</f>
        <v>-26.06</v>
      </c>
      <c r="HT11">
        <f>EZ11-EE11</f>
        <v>1.7000000000000002</v>
      </c>
      <c r="HU11" s="28">
        <f>(HT11/EE11)*100</f>
        <v>60.714285714285722</v>
      </c>
      <c r="HW11" s="28"/>
    </row>
    <row r="12" spans="1:231" x14ac:dyDescent="0.35">
      <c r="A12" t="s">
        <v>235</v>
      </c>
      <c r="B12" t="s">
        <v>236</v>
      </c>
      <c r="C12" s="3">
        <v>20460</v>
      </c>
      <c r="D12" s="31">
        <v>77</v>
      </c>
      <c r="E12">
        <v>67</v>
      </c>
      <c r="F12">
        <v>75</v>
      </c>
      <c r="G12">
        <v>164</v>
      </c>
      <c r="H12">
        <f t="shared" si="0"/>
        <v>1.64</v>
      </c>
      <c r="I12">
        <f t="shared" si="1"/>
        <v>27.885187388459254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144</v>
      </c>
      <c r="AH12">
        <v>0</v>
      </c>
      <c r="AI12">
        <v>0</v>
      </c>
      <c r="AJ12">
        <v>0</v>
      </c>
      <c r="AK12">
        <v>0</v>
      </c>
      <c r="AL12" s="3">
        <v>45005</v>
      </c>
      <c r="AM12" t="s">
        <v>38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87</v>
      </c>
      <c r="AU12">
        <v>10</v>
      </c>
      <c r="AV12">
        <v>4</v>
      </c>
      <c r="AW12">
        <v>0</v>
      </c>
      <c r="AX12">
        <v>3</v>
      </c>
      <c r="AY12">
        <v>4</v>
      </c>
      <c r="AZ12">
        <v>0</v>
      </c>
      <c r="BA12">
        <v>0</v>
      </c>
      <c r="BB12">
        <v>22.92</v>
      </c>
      <c r="BC12">
        <v>11.2</v>
      </c>
      <c r="BD12">
        <v>486</v>
      </c>
      <c r="BE12">
        <v>61</v>
      </c>
      <c r="BF12">
        <v>28</v>
      </c>
      <c r="BG12">
        <v>482</v>
      </c>
      <c r="BH12">
        <v>131</v>
      </c>
      <c r="BI12">
        <v>92</v>
      </c>
      <c r="BJ12">
        <v>5</v>
      </c>
      <c r="BK12" t="s">
        <v>144</v>
      </c>
      <c r="BL12" t="s">
        <v>144</v>
      </c>
      <c r="BM12" t="s">
        <v>144</v>
      </c>
      <c r="BN12">
        <v>7.07</v>
      </c>
      <c r="BO12">
        <v>397</v>
      </c>
      <c r="BP12">
        <v>31</v>
      </c>
      <c r="BQ12">
        <v>8</v>
      </c>
      <c r="BR12">
        <v>15.9</v>
      </c>
      <c r="BS12">
        <v>55</v>
      </c>
      <c r="BT12">
        <v>80</v>
      </c>
      <c r="BU12">
        <v>55</v>
      </c>
      <c r="BV12">
        <v>28</v>
      </c>
      <c r="BW12">
        <v>911</v>
      </c>
      <c r="BX12">
        <v>613</v>
      </c>
      <c r="BY12" s="3">
        <v>45005</v>
      </c>
      <c r="BZ12">
        <v>5</v>
      </c>
      <c r="CA12">
        <v>75</v>
      </c>
      <c r="CB12">
        <v>10</v>
      </c>
      <c r="CC12">
        <v>4</v>
      </c>
      <c r="CD12">
        <v>0</v>
      </c>
      <c r="CE12">
        <v>3</v>
      </c>
      <c r="CF12">
        <v>4</v>
      </c>
      <c r="CG12">
        <v>0</v>
      </c>
      <c r="CH12">
        <v>0</v>
      </c>
      <c r="CI12">
        <v>22.92</v>
      </c>
      <c r="CJ12">
        <v>11.2</v>
      </c>
      <c r="CK12">
        <v>486</v>
      </c>
      <c r="CL12">
        <v>61</v>
      </c>
      <c r="CM12">
        <v>28</v>
      </c>
      <c r="CN12">
        <v>482</v>
      </c>
      <c r="CO12">
        <v>131</v>
      </c>
      <c r="CP12">
        <v>92</v>
      </c>
      <c r="CQ12">
        <v>5</v>
      </c>
      <c r="CR12" t="s">
        <v>144</v>
      </c>
      <c r="CS12" t="s">
        <v>144</v>
      </c>
      <c r="CT12" t="s">
        <v>144</v>
      </c>
      <c r="CU12">
        <v>7.07</v>
      </c>
      <c r="CV12">
        <v>397</v>
      </c>
      <c r="CW12">
        <v>31</v>
      </c>
      <c r="CX12">
        <v>8</v>
      </c>
      <c r="CY12">
        <v>15.9</v>
      </c>
      <c r="CZ12">
        <v>55</v>
      </c>
      <c r="DA12">
        <v>80</v>
      </c>
      <c r="DB12">
        <v>55</v>
      </c>
      <c r="DC12">
        <v>28</v>
      </c>
      <c r="DD12">
        <v>911</v>
      </c>
      <c r="DE12">
        <v>613</v>
      </c>
      <c r="DF12">
        <v>1</v>
      </c>
      <c r="DG12">
        <v>2</v>
      </c>
      <c r="DH12">
        <v>100</v>
      </c>
      <c r="DI12">
        <v>1000</v>
      </c>
      <c r="DJ12">
        <v>1</v>
      </c>
      <c r="DK12">
        <v>0</v>
      </c>
      <c r="DL12">
        <v>0.3</v>
      </c>
      <c r="DM12">
        <v>1</v>
      </c>
      <c r="DN12">
        <v>0</v>
      </c>
      <c r="DO12">
        <v>0</v>
      </c>
      <c r="DP12">
        <v>0</v>
      </c>
      <c r="DQ12">
        <v>3</v>
      </c>
      <c r="DR12">
        <v>0</v>
      </c>
      <c r="DS12">
        <v>0</v>
      </c>
      <c r="DT12">
        <v>135</v>
      </c>
      <c r="DU12">
        <v>56</v>
      </c>
      <c r="DV12">
        <v>72</v>
      </c>
      <c r="DW12">
        <v>121</v>
      </c>
      <c r="DX12" t="s">
        <v>239</v>
      </c>
      <c r="DY12">
        <v>0</v>
      </c>
      <c r="DZ12">
        <v>1</v>
      </c>
      <c r="EA12">
        <v>0</v>
      </c>
      <c r="EB12">
        <v>4</v>
      </c>
      <c r="EC12">
        <v>30</v>
      </c>
      <c r="ED12">
        <v>60</v>
      </c>
      <c r="EE12">
        <v>4.5999999999999996</v>
      </c>
      <c r="EF12">
        <v>50</v>
      </c>
      <c r="EG12">
        <v>12</v>
      </c>
      <c r="EH12">
        <v>50</v>
      </c>
      <c r="EI12">
        <v>1</v>
      </c>
      <c r="EJ12">
        <v>0</v>
      </c>
      <c r="EK12" t="s">
        <v>241</v>
      </c>
      <c r="EL12" t="s">
        <v>242</v>
      </c>
      <c r="EM12" t="s">
        <v>144</v>
      </c>
      <c r="EN12" t="s">
        <v>144</v>
      </c>
      <c r="EO12" t="s">
        <v>144</v>
      </c>
      <c r="EP12">
        <v>1</v>
      </c>
      <c r="EQ12">
        <v>4.3499999999999996</v>
      </c>
      <c r="ER12">
        <v>12.3</v>
      </c>
      <c r="ES12" t="s">
        <v>244</v>
      </c>
      <c r="ET12" t="s">
        <v>245</v>
      </c>
      <c r="EU12" t="s">
        <v>246</v>
      </c>
      <c r="EV12">
        <v>120</v>
      </c>
      <c r="EW12">
        <v>64</v>
      </c>
      <c r="EX12">
        <v>77</v>
      </c>
      <c r="EY12">
        <v>120</v>
      </c>
      <c r="EZ12">
        <v>5.2</v>
      </c>
      <c r="FA12" t="s">
        <v>144</v>
      </c>
      <c r="FB12">
        <v>1</v>
      </c>
      <c r="FC12" t="s">
        <v>217</v>
      </c>
      <c r="FD12">
        <v>15.3</v>
      </c>
      <c r="FH12">
        <v>127</v>
      </c>
      <c r="FI12">
        <v>53</v>
      </c>
      <c r="FJ12">
        <v>70</v>
      </c>
      <c r="FK12">
        <v>119</v>
      </c>
      <c r="FL12">
        <v>4</v>
      </c>
      <c r="FM12" t="s">
        <v>144</v>
      </c>
      <c r="FN12">
        <v>1</v>
      </c>
      <c r="FO12" t="s">
        <v>248</v>
      </c>
      <c r="FP12">
        <v>9.9</v>
      </c>
      <c r="FQ12" t="s">
        <v>249</v>
      </c>
      <c r="FR12" t="s">
        <v>250</v>
      </c>
      <c r="FS12" t="s">
        <v>251</v>
      </c>
      <c r="FT12">
        <v>115</v>
      </c>
      <c r="FU12">
        <v>52</v>
      </c>
      <c r="FV12">
        <v>69</v>
      </c>
      <c r="FW12">
        <v>117</v>
      </c>
      <c r="FX12">
        <v>5.0999999999999996</v>
      </c>
      <c r="GD12">
        <v>5</v>
      </c>
      <c r="GE12">
        <v>1</v>
      </c>
      <c r="GF12" t="s">
        <v>252</v>
      </c>
      <c r="GG12">
        <v>14.2</v>
      </c>
      <c r="GH12" t="s">
        <v>227</v>
      </c>
      <c r="GI12" t="s">
        <v>253</v>
      </c>
      <c r="GJ12" t="s">
        <v>254</v>
      </c>
      <c r="HI12">
        <v>1</v>
      </c>
      <c r="HJ12">
        <v>1</v>
      </c>
      <c r="HK12" s="3">
        <v>45028</v>
      </c>
      <c r="HL12">
        <f t="shared" si="2"/>
        <v>3</v>
      </c>
      <c r="HM12" s="16">
        <f t="shared" si="3"/>
        <v>0.24390243902439024</v>
      </c>
      <c r="HN12">
        <f t="shared" ref="HN12:HN19" si="11">GG12-FP12</f>
        <v>4.2999999999999989</v>
      </c>
      <c r="HO12" s="16">
        <f t="shared" ref="HO12:HO19" si="12">HN12/FP12</f>
        <v>0.4343434343434342</v>
      </c>
      <c r="HP12" s="26">
        <f t="shared" si="6"/>
        <v>1.2999999999999989</v>
      </c>
      <c r="HR12" s="16"/>
      <c r="HT12">
        <f>EZ12-EE12</f>
        <v>0.60000000000000053</v>
      </c>
      <c r="HU12" s="28">
        <f>(HT12/EE12)*100</f>
        <v>13.043478260869579</v>
      </c>
      <c r="HV12">
        <f>FX12-FL12</f>
        <v>1.0999999999999996</v>
      </c>
      <c r="HW12" s="29">
        <f>(HV12/FL12)*100</f>
        <v>27.499999999999993</v>
      </c>
    </row>
    <row r="13" spans="1:231" x14ac:dyDescent="0.35">
      <c r="A13" t="s">
        <v>290</v>
      </c>
      <c r="B13" t="s">
        <v>291</v>
      </c>
      <c r="C13" s="3">
        <v>17227</v>
      </c>
      <c r="D13" s="31">
        <v>44</v>
      </c>
      <c r="E13">
        <v>76</v>
      </c>
      <c r="F13">
        <v>64</v>
      </c>
      <c r="G13">
        <v>159</v>
      </c>
      <c r="H13">
        <f t="shared" si="0"/>
        <v>1.59</v>
      </c>
      <c r="I13">
        <f t="shared" si="1"/>
        <v>25.315454293738377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0</v>
      </c>
      <c r="AG13" t="s">
        <v>144</v>
      </c>
      <c r="AL13" s="3">
        <v>45147</v>
      </c>
      <c r="AM13" t="s">
        <v>285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44</v>
      </c>
      <c r="AU13">
        <v>4</v>
      </c>
      <c r="AV13">
        <v>0</v>
      </c>
      <c r="AW13">
        <v>3</v>
      </c>
      <c r="AX13">
        <v>0</v>
      </c>
      <c r="AY13">
        <v>0</v>
      </c>
      <c r="AZ13">
        <v>0</v>
      </c>
      <c r="BA13">
        <v>1</v>
      </c>
      <c r="BB13">
        <v>269</v>
      </c>
      <c r="BC13">
        <v>9</v>
      </c>
      <c r="BD13">
        <v>144</v>
      </c>
      <c r="BE13">
        <v>62</v>
      </c>
      <c r="BF13">
        <v>4.9000000000000004</v>
      </c>
      <c r="BG13">
        <v>42</v>
      </c>
      <c r="BH13">
        <v>133</v>
      </c>
      <c r="BI13">
        <v>103</v>
      </c>
      <c r="BJ13">
        <v>15</v>
      </c>
      <c r="BK13">
        <v>197</v>
      </c>
      <c r="BL13" t="s">
        <v>144</v>
      </c>
      <c r="BM13" t="s">
        <v>144</v>
      </c>
      <c r="BN13">
        <v>7.52</v>
      </c>
      <c r="BO13">
        <v>75</v>
      </c>
      <c r="BP13">
        <v>27</v>
      </c>
      <c r="BQ13">
        <v>22</v>
      </c>
      <c r="BR13">
        <v>4</v>
      </c>
      <c r="BS13">
        <v>60</v>
      </c>
      <c r="BT13" t="s">
        <v>144</v>
      </c>
      <c r="BU13">
        <v>108</v>
      </c>
      <c r="BV13">
        <v>46</v>
      </c>
      <c r="BW13">
        <v>6939</v>
      </c>
      <c r="BX13" t="s">
        <v>144</v>
      </c>
      <c r="BY13" s="3">
        <v>45061</v>
      </c>
      <c r="CA13">
        <v>64</v>
      </c>
      <c r="CB13">
        <v>6</v>
      </c>
      <c r="CC13">
        <v>4</v>
      </c>
      <c r="CD13">
        <v>0</v>
      </c>
      <c r="CE13">
        <v>0</v>
      </c>
      <c r="CF13">
        <v>0</v>
      </c>
      <c r="CG13">
        <v>0</v>
      </c>
      <c r="CH13">
        <v>2</v>
      </c>
      <c r="CI13">
        <v>0.42</v>
      </c>
      <c r="CJ13">
        <v>6.9</v>
      </c>
      <c r="CK13">
        <v>55</v>
      </c>
      <c r="CL13">
        <v>49</v>
      </c>
      <c r="CM13">
        <v>6.6</v>
      </c>
      <c r="CN13">
        <v>70</v>
      </c>
      <c r="CO13">
        <v>137</v>
      </c>
      <c r="CP13">
        <v>109</v>
      </c>
      <c r="CQ13">
        <v>16</v>
      </c>
      <c r="CR13" t="s">
        <v>144</v>
      </c>
      <c r="CS13" t="s">
        <v>144</v>
      </c>
      <c r="CT13" t="s">
        <v>144</v>
      </c>
      <c r="CU13">
        <v>7.44</v>
      </c>
      <c r="CV13">
        <v>107</v>
      </c>
      <c r="CW13">
        <v>24</v>
      </c>
      <c r="CX13">
        <v>16.399999999999999</v>
      </c>
      <c r="CY13">
        <v>1.2</v>
      </c>
      <c r="CZ13" t="s">
        <v>144</v>
      </c>
      <c r="DA13" t="s">
        <v>144</v>
      </c>
      <c r="DB13" t="s">
        <v>144</v>
      </c>
      <c r="DC13" t="s">
        <v>144</v>
      </c>
      <c r="DD13">
        <v>2369</v>
      </c>
      <c r="DE13" t="s">
        <v>144</v>
      </c>
      <c r="DF13">
        <v>1</v>
      </c>
      <c r="DG13">
        <v>1</v>
      </c>
      <c r="DH13">
        <v>500</v>
      </c>
      <c r="DI13">
        <v>1500</v>
      </c>
      <c r="DJ13">
        <v>1</v>
      </c>
      <c r="DK13">
        <v>0</v>
      </c>
      <c r="DL13">
        <v>0.8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126</v>
      </c>
      <c r="DU13">
        <v>47</v>
      </c>
      <c r="DV13">
        <v>67</v>
      </c>
      <c r="DW13">
        <v>121</v>
      </c>
      <c r="DX13">
        <v>38</v>
      </c>
      <c r="DY13">
        <v>1</v>
      </c>
      <c r="DZ13">
        <v>0</v>
      </c>
      <c r="EA13">
        <v>0</v>
      </c>
      <c r="EB13">
        <v>0</v>
      </c>
      <c r="ED13">
        <v>3</v>
      </c>
      <c r="EE13">
        <v>6.1</v>
      </c>
      <c r="EF13">
        <v>50</v>
      </c>
      <c r="EG13">
        <v>12</v>
      </c>
      <c r="EH13">
        <v>100</v>
      </c>
      <c r="EI13">
        <v>0</v>
      </c>
      <c r="EJ13">
        <v>0</v>
      </c>
      <c r="EK13">
        <v>0.6</v>
      </c>
      <c r="EL13">
        <v>6.3</v>
      </c>
      <c r="EM13">
        <v>15</v>
      </c>
      <c r="EN13" t="s">
        <v>144</v>
      </c>
      <c r="EO13">
        <v>6</v>
      </c>
      <c r="EP13">
        <v>1</v>
      </c>
      <c r="EQ13">
        <v>2.44</v>
      </c>
      <c r="ER13">
        <v>23.25</v>
      </c>
      <c r="ES13">
        <v>3.9</v>
      </c>
      <c r="ET13">
        <v>14.86</v>
      </c>
      <c r="EU13">
        <v>35.74</v>
      </c>
      <c r="EV13">
        <v>130</v>
      </c>
      <c r="EW13">
        <v>45</v>
      </c>
      <c r="EX13">
        <v>68</v>
      </c>
      <c r="EY13">
        <v>115</v>
      </c>
      <c r="EZ13">
        <v>7</v>
      </c>
      <c r="FA13">
        <v>10</v>
      </c>
      <c r="FB13">
        <v>1</v>
      </c>
      <c r="FC13">
        <v>2.62</v>
      </c>
      <c r="FD13">
        <v>17.03</v>
      </c>
      <c r="FE13">
        <v>3.5</v>
      </c>
      <c r="FF13">
        <v>11.57</v>
      </c>
      <c r="FG13">
        <v>27.4</v>
      </c>
      <c r="FH13">
        <v>122</v>
      </c>
      <c r="FI13">
        <v>41</v>
      </c>
      <c r="FJ13">
        <v>62</v>
      </c>
      <c r="FK13">
        <v>118</v>
      </c>
      <c r="FL13">
        <v>6.3</v>
      </c>
      <c r="FM13">
        <v>12</v>
      </c>
      <c r="FN13">
        <v>1</v>
      </c>
      <c r="FO13">
        <v>2.59</v>
      </c>
      <c r="FP13">
        <v>19.600000000000001</v>
      </c>
      <c r="FT13">
        <v>127</v>
      </c>
      <c r="FU13">
        <v>43</v>
      </c>
      <c r="FV13">
        <v>66</v>
      </c>
      <c r="FW13">
        <v>116</v>
      </c>
      <c r="FX13">
        <v>7</v>
      </c>
      <c r="FY13">
        <v>50</v>
      </c>
      <c r="FZ13">
        <v>0.8</v>
      </c>
      <c r="GA13">
        <v>5.9</v>
      </c>
      <c r="GB13">
        <v>10</v>
      </c>
      <c r="GC13">
        <v>100</v>
      </c>
      <c r="GD13">
        <v>10</v>
      </c>
      <c r="GE13">
        <v>1</v>
      </c>
      <c r="GF13">
        <v>2.5499999999999998</v>
      </c>
      <c r="GG13">
        <v>19.309999999999999</v>
      </c>
      <c r="GK13">
        <v>124</v>
      </c>
      <c r="GL13">
        <v>46</v>
      </c>
      <c r="GM13">
        <v>68</v>
      </c>
      <c r="GN13">
        <v>114</v>
      </c>
      <c r="GO13">
        <v>7</v>
      </c>
      <c r="GP13">
        <v>10</v>
      </c>
      <c r="GQ13">
        <v>1</v>
      </c>
      <c r="GR13">
        <v>2.02</v>
      </c>
      <c r="GS13">
        <v>22.56</v>
      </c>
      <c r="GW13">
        <v>123</v>
      </c>
      <c r="GX13">
        <v>47</v>
      </c>
      <c r="GY13">
        <v>69</v>
      </c>
      <c r="GZ13">
        <v>115</v>
      </c>
      <c r="HA13">
        <v>6.1</v>
      </c>
      <c r="HB13">
        <v>18</v>
      </c>
      <c r="HC13">
        <v>1</v>
      </c>
      <c r="HD13">
        <v>2.77</v>
      </c>
      <c r="HE13">
        <v>18.010000000000002</v>
      </c>
      <c r="HI13">
        <v>0</v>
      </c>
      <c r="HJ13">
        <v>1</v>
      </c>
      <c r="HK13" s="3">
        <v>45065</v>
      </c>
      <c r="HL13">
        <f t="shared" si="2"/>
        <v>-6.2199999999999989</v>
      </c>
      <c r="HM13" s="16">
        <f t="shared" si="3"/>
        <v>-0.26752688172043004</v>
      </c>
      <c r="HN13">
        <f t="shared" si="11"/>
        <v>-0.2900000000000027</v>
      </c>
      <c r="HO13" s="16">
        <f t="shared" si="12"/>
        <v>-1.4795918367347076E-2</v>
      </c>
      <c r="HP13" s="26">
        <f t="shared" si="6"/>
        <v>5.9299999999999962</v>
      </c>
      <c r="HQ13">
        <f>HE13-FP13</f>
        <v>-1.5899999999999999</v>
      </c>
      <c r="HR13" s="16">
        <f>HQ13/FP13</f>
        <v>-8.1122448979591824E-2</v>
      </c>
      <c r="HS13">
        <f>HE13-GG13</f>
        <v>-1.2999999999999972</v>
      </c>
      <c r="HT13">
        <f>EZ13-EE13</f>
        <v>0.90000000000000036</v>
      </c>
      <c r="HU13" s="28">
        <f>(HT13/EE13)*100</f>
        <v>14.754098360655746</v>
      </c>
      <c r="HV13">
        <f>FX13-FL13</f>
        <v>0.70000000000000018</v>
      </c>
      <c r="HW13" s="28">
        <f>(HV13/FL13)*100</f>
        <v>11.111111111111114</v>
      </c>
    </row>
    <row r="14" spans="1:231" x14ac:dyDescent="0.35">
      <c r="A14" t="s">
        <v>326</v>
      </c>
      <c r="B14" t="s">
        <v>327</v>
      </c>
      <c r="C14" s="3">
        <v>17542</v>
      </c>
      <c r="D14" s="31">
        <v>38</v>
      </c>
      <c r="E14">
        <v>75</v>
      </c>
      <c r="F14">
        <v>58</v>
      </c>
      <c r="G14">
        <v>165</v>
      </c>
      <c r="H14">
        <f t="shared" si="0"/>
        <v>1.65</v>
      </c>
      <c r="I14">
        <f t="shared" si="1"/>
        <v>21.30394857667585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0</v>
      </c>
      <c r="AD14">
        <v>0</v>
      </c>
      <c r="AE14">
        <v>0</v>
      </c>
      <c r="AF14">
        <v>0</v>
      </c>
      <c r="AL14" s="3">
        <v>45144</v>
      </c>
      <c r="AM14" t="s">
        <v>328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38</v>
      </c>
      <c r="AU14">
        <v>7</v>
      </c>
      <c r="AV14">
        <v>1</v>
      </c>
      <c r="AW14">
        <v>2</v>
      </c>
      <c r="AX14">
        <v>3</v>
      </c>
      <c r="AY14">
        <v>0</v>
      </c>
      <c r="AZ14">
        <v>1</v>
      </c>
      <c r="BA14">
        <v>0</v>
      </c>
      <c r="BB14">
        <v>8.1</v>
      </c>
      <c r="BC14">
        <v>14.2</v>
      </c>
      <c r="BD14">
        <v>181</v>
      </c>
      <c r="BE14">
        <v>65</v>
      </c>
      <c r="BF14">
        <v>2.6</v>
      </c>
      <c r="BG14">
        <v>39</v>
      </c>
      <c r="BH14">
        <v>135</v>
      </c>
      <c r="BI14">
        <v>105</v>
      </c>
      <c r="BJ14">
        <v>22</v>
      </c>
      <c r="BK14">
        <v>111</v>
      </c>
      <c r="BL14">
        <v>0.02</v>
      </c>
      <c r="BM14" t="s">
        <v>144</v>
      </c>
      <c r="BN14">
        <v>7.46</v>
      </c>
      <c r="BO14">
        <v>93</v>
      </c>
      <c r="BP14">
        <v>33</v>
      </c>
      <c r="BQ14">
        <v>24</v>
      </c>
      <c r="BR14">
        <v>0.9</v>
      </c>
      <c r="BS14">
        <v>100</v>
      </c>
      <c r="BT14" t="s">
        <v>144</v>
      </c>
      <c r="BU14">
        <v>28</v>
      </c>
      <c r="BV14">
        <v>23</v>
      </c>
      <c r="BW14">
        <v>392</v>
      </c>
      <c r="BX14">
        <v>168</v>
      </c>
      <c r="BY14" s="3">
        <v>45145</v>
      </c>
      <c r="BZ14">
        <v>18</v>
      </c>
      <c r="CA14">
        <v>58</v>
      </c>
      <c r="CB14">
        <v>8</v>
      </c>
      <c r="CC14">
        <v>1</v>
      </c>
      <c r="CD14">
        <v>2</v>
      </c>
      <c r="CE14">
        <v>3</v>
      </c>
      <c r="CF14">
        <v>0</v>
      </c>
      <c r="CG14">
        <v>2</v>
      </c>
      <c r="CH14">
        <v>0</v>
      </c>
      <c r="CI14">
        <v>10.6</v>
      </c>
      <c r="CJ14">
        <v>13.3</v>
      </c>
      <c r="CK14">
        <v>162</v>
      </c>
      <c r="CL14">
        <v>53</v>
      </c>
      <c r="CM14">
        <v>2.7</v>
      </c>
      <c r="CN14">
        <v>36</v>
      </c>
      <c r="CO14">
        <v>135</v>
      </c>
      <c r="CP14">
        <v>105</v>
      </c>
      <c r="CQ14">
        <v>40</v>
      </c>
      <c r="CS14">
        <v>0.3</v>
      </c>
      <c r="CU14">
        <v>7.4</v>
      </c>
      <c r="CV14">
        <v>93</v>
      </c>
      <c r="CW14">
        <v>33</v>
      </c>
      <c r="CX14">
        <v>24</v>
      </c>
      <c r="CY14">
        <v>0.9</v>
      </c>
      <c r="DB14">
        <v>25</v>
      </c>
      <c r="DC14">
        <v>19</v>
      </c>
      <c r="DD14">
        <v>378</v>
      </c>
      <c r="DE14">
        <v>145</v>
      </c>
      <c r="DF14">
        <v>2</v>
      </c>
      <c r="DG14">
        <v>1</v>
      </c>
      <c r="DH14">
        <v>500</v>
      </c>
      <c r="DI14">
        <v>2000</v>
      </c>
      <c r="DJ14">
        <v>1</v>
      </c>
      <c r="DK14">
        <v>0</v>
      </c>
      <c r="DM14">
        <v>0</v>
      </c>
      <c r="DN14">
        <v>0</v>
      </c>
      <c r="DO14">
        <v>0</v>
      </c>
      <c r="DP14">
        <v>30</v>
      </c>
      <c r="DQ14">
        <v>0</v>
      </c>
      <c r="DR14">
        <v>0</v>
      </c>
      <c r="DS14">
        <v>0</v>
      </c>
      <c r="DT14">
        <v>119</v>
      </c>
      <c r="DU14">
        <v>54</v>
      </c>
      <c r="DV14">
        <v>70</v>
      </c>
      <c r="DW14">
        <v>54</v>
      </c>
      <c r="DX14">
        <v>36.799999999999997</v>
      </c>
      <c r="DY14">
        <v>0</v>
      </c>
      <c r="DZ14">
        <v>0</v>
      </c>
      <c r="EA14">
        <v>1</v>
      </c>
      <c r="EB14">
        <v>8</v>
      </c>
      <c r="EC14">
        <v>30</v>
      </c>
      <c r="ED14">
        <v>60</v>
      </c>
      <c r="EP14">
        <v>3</v>
      </c>
      <c r="EQ14">
        <v>5.5</v>
      </c>
      <c r="ER14">
        <v>16.670000000000002</v>
      </c>
      <c r="ES14">
        <v>15.7</v>
      </c>
      <c r="ET14">
        <v>7.2</v>
      </c>
      <c r="EU14">
        <v>121.1</v>
      </c>
      <c r="EV14">
        <v>138</v>
      </c>
      <c r="EW14">
        <v>72</v>
      </c>
      <c r="EX14">
        <v>91</v>
      </c>
      <c r="EY14">
        <v>72</v>
      </c>
      <c r="FB14">
        <v>3</v>
      </c>
      <c r="FC14">
        <v>5.3</v>
      </c>
      <c r="FD14">
        <v>10.83</v>
      </c>
      <c r="FH14">
        <v>148</v>
      </c>
      <c r="FI14">
        <v>66</v>
      </c>
      <c r="FJ14">
        <v>90</v>
      </c>
      <c r="FK14">
        <v>69</v>
      </c>
      <c r="FN14">
        <v>3</v>
      </c>
      <c r="FO14">
        <v>6.1</v>
      </c>
      <c r="FP14">
        <v>11.27</v>
      </c>
      <c r="FT14">
        <v>149</v>
      </c>
      <c r="FU14">
        <v>61</v>
      </c>
      <c r="FV14">
        <v>82</v>
      </c>
      <c r="FW14">
        <v>70</v>
      </c>
      <c r="GE14">
        <v>3</v>
      </c>
      <c r="GF14">
        <v>5.8</v>
      </c>
      <c r="GG14">
        <v>9.85</v>
      </c>
      <c r="GK14">
        <v>139</v>
      </c>
      <c r="GL14">
        <v>86</v>
      </c>
      <c r="GM14">
        <v>102</v>
      </c>
      <c r="GN14">
        <v>70</v>
      </c>
      <c r="GQ14">
        <v>3</v>
      </c>
      <c r="GR14">
        <v>5.0999999999999996</v>
      </c>
      <c r="GS14">
        <v>8.75</v>
      </c>
      <c r="GW14">
        <v>135</v>
      </c>
      <c r="GX14">
        <v>57</v>
      </c>
      <c r="GY14">
        <v>80</v>
      </c>
      <c r="GZ14">
        <v>61</v>
      </c>
      <c r="HC14">
        <v>3</v>
      </c>
      <c r="HD14">
        <v>5.4</v>
      </c>
      <c r="HE14">
        <v>9.39</v>
      </c>
      <c r="HL14">
        <f t="shared" si="2"/>
        <v>-5.8400000000000016</v>
      </c>
      <c r="HM14" s="16">
        <f t="shared" si="3"/>
        <v>-0.3503299340131974</v>
      </c>
      <c r="HN14">
        <f t="shared" si="11"/>
        <v>-1.42</v>
      </c>
      <c r="HO14" s="16">
        <f t="shared" si="12"/>
        <v>-0.12599822537710736</v>
      </c>
      <c r="HP14" s="26">
        <f t="shared" si="6"/>
        <v>4.4200000000000017</v>
      </c>
      <c r="HQ14">
        <f>HE14-FP14</f>
        <v>-1.879999999999999</v>
      </c>
      <c r="HR14" s="16">
        <f>HQ14/FP14</f>
        <v>-0.16681455190771952</v>
      </c>
      <c r="HS14">
        <f>HE14-GG14</f>
        <v>-0.45999999999999908</v>
      </c>
      <c r="HU14" s="28"/>
      <c r="HW14" s="28"/>
    </row>
    <row r="15" spans="1:231" x14ac:dyDescent="0.35">
      <c r="A15" t="s">
        <v>326</v>
      </c>
      <c r="B15" t="s">
        <v>327</v>
      </c>
      <c r="C15" s="3">
        <v>17542</v>
      </c>
      <c r="D15" s="31">
        <v>38</v>
      </c>
      <c r="E15">
        <v>75</v>
      </c>
      <c r="F15">
        <v>58</v>
      </c>
      <c r="G15">
        <v>165</v>
      </c>
      <c r="H15">
        <f t="shared" si="0"/>
        <v>1.65</v>
      </c>
      <c r="I15">
        <f t="shared" si="1"/>
        <v>21.30394857667585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>
        <v>0</v>
      </c>
      <c r="AD15">
        <v>0</v>
      </c>
      <c r="AE15">
        <v>0</v>
      </c>
      <c r="AF15">
        <v>0</v>
      </c>
      <c r="AL15" s="3">
        <v>45144</v>
      </c>
      <c r="AM15" t="s">
        <v>328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38</v>
      </c>
      <c r="AU15">
        <v>7</v>
      </c>
      <c r="AV15">
        <v>1</v>
      </c>
      <c r="AW15">
        <v>2</v>
      </c>
      <c r="AX15">
        <v>3</v>
      </c>
      <c r="AY15">
        <v>0</v>
      </c>
      <c r="AZ15">
        <v>1</v>
      </c>
      <c r="BA15">
        <v>0</v>
      </c>
      <c r="BB15">
        <v>8.1</v>
      </c>
      <c r="BC15">
        <v>14.2</v>
      </c>
      <c r="BD15">
        <v>181</v>
      </c>
      <c r="BE15">
        <v>65</v>
      </c>
      <c r="BF15">
        <v>2.6</v>
      </c>
      <c r="BG15">
        <v>39</v>
      </c>
      <c r="BH15">
        <v>135</v>
      </c>
      <c r="BI15">
        <v>105</v>
      </c>
      <c r="BJ15">
        <v>22</v>
      </c>
      <c r="BK15">
        <v>111</v>
      </c>
      <c r="BL15">
        <v>0.02</v>
      </c>
      <c r="BM15" t="s">
        <v>144</v>
      </c>
      <c r="BN15">
        <v>7.46</v>
      </c>
      <c r="BO15">
        <v>93</v>
      </c>
      <c r="BP15">
        <v>33</v>
      </c>
      <c r="BQ15">
        <v>24</v>
      </c>
      <c r="BR15">
        <v>0.9</v>
      </c>
      <c r="BS15">
        <v>100</v>
      </c>
      <c r="BT15" t="s">
        <v>144</v>
      </c>
      <c r="BU15">
        <v>28</v>
      </c>
      <c r="BV15">
        <v>23</v>
      </c>
      <c r="BW15">
        <v>392</v>
      </c>
      <c r="BX15">
        <v>168</v>
      </c>
      <c r="BY15" s="3">
        <v>45145</v>
      </c>
      <c r="BZ15">
        <v>18</v>
      </c>
      <c r="CA15">
        <v>58</v>
      </c>
      <c r="CB15">
        <v>8</v>
      </c>
      <c r="CC15">
        <v>1</v>
      </c>
      <c r="CD15">
        <v>2</v>
      </c>
      <c r="CE15">
        <v>3</v>
      </c>
      <c r="CF15">
        <v>0</v>
      </c>
      <c r="CG15">
        <v>2</v>
      </c>
      <c r="CH15">
        <v>0</v>
      </c>
      <c r="CI15">
        <v>10.6</v>
      </c>
      <c r="CJ15">
        <v>13.3</v>
      </c>
      <c r="CK15">
        <v>162</v>
      </c>
      <c r="CL15">
        <v>53</v>
      </c>
      <c r="CM15">
        <v>2.7</v>
      </c>
      <c r="CN15">
        <v>36</v>
      </c>
      <c r="CO15">
        <v>135</v>
      </c>
      <c r="CP15">
        <v>105</v>
      </c>
      <c r="CQ15">
        <v>40</v>
      </c>
      <c r="CS15">
        <v>0.3</v>
      </c>
      <c r="CU15">
        <v>7.4</v>
      </c>
      <c r="CV15">
        <v>93</v>
      </c>
      <c r="CW15">
        <v>33</v>
      </c>
      <c r="CX15">
        <v>24</v>
      </c>
      <c r="CY15">
        <v>0.9</v>
      </c>
      <c r="DB15">
        <v>25</v>
      </c>
      <c r="DC15">
        <v>19</v>
      </c>
      <c r="DD15">
        <v>378</v>
      </c>
      <c r="DE15">
        <v>145</v>
      </c>
      <c r="DF15">
        <v>2</v>
      </c>
      <c r="DG15">
        <v>2</v>
      </c>
      <c r="DH15">
        <v>100</v>
      </c>
      <c r="DI15">
        <v>2500</v>
      </c>
      <c r="DJ15">
        <v>1</v>
      </c>
      <c r="DK15">
        <v>0</v>
      </c>
      <c r="DM15">
        <v>0</v>
      </c>
      <c r="DN15">
        <v>0</v>
      </c>
      <c r="DO15">
        <v>0</v>
      </c>
      <c r="DP15">
        <v>30</v>
      </c>
      <c r="DQ15">
        <v>0</v>
      </c>
      <c r="DR15">
        <v>0</v>
      </c>
      <c r="DS15">
        <v>0</v>
      </c>
      <c r="DT15">
        <v>135</v>
      </c>
      <c r="DU15">
        <v>57</v>
      </c>
      <c r="DV15">
        <v>80</v>
      </c>
      <c r="DW15">
        <v>56</v>
      </c>
      <c r="DX15">
        <v>36.799999999999997</v>
      </c>
      <c r="DY15">
        <v>0</v>
      </c>
      <c r="DZ15">
        <v>0</v>
      </c>
      <c r="EA15">
        <v>1</v>
      </c>
      <c r="EB15">
        <v>8</v>
      </c>
      <c r="EC15">
        <v>30</v>
      </c>
      <c r="ED15">
        <v>60</v>
      </c>
      <c r="EP15">
        <v>3</v>
      </c>
      <c r="EQ15">
        <v>5.5</v>
      </c>
      <c r="ER15">
        <v>10.32</v>
      </c>
      <c r="ES15">
        <v>3.2</v>
      </c>
      <c r="EV15">
        <v>142</v>
      </c>
      <c r="EW15">
        <v>90</v>
      </c>
      <c r="EX15">
        <v>98</v>
      </c>
      <c r="EY15">
        <v>71</v>
      </c>
      <c r="FB15">
        <v>3</v>
      </c>
      <c r="FC15">
        <v>5.4</v>
      </c>
      <c r="FD15">
        <v>10.55</v>
      </c>
      <c r="FH15">
        <v>140</v>
      </c>
      <c r="FI15">
        <v>70</v>
      </c>
      <c r="FJ15">
        <v>92</v>
      </c>
      <c r="FK15">
        <v>69</v>
      </c>
      <c r="FN15">
        <v>3</v>
      </c>
      <c r="FO15">
        <v>5.6</v>
      </c>
      <c r="FP15">
        <v>10.16</v>
      </c>
      <c r="FT15">
        <v>138</v>
      </c>
      <c r="FU15">
        <v>64</v>
      </c>
      <c r="FV15">
        <v>84</v>
      </c>
      <c r="FW15">
        <v>68</v>
      </c>
      <c r="GE15">
        <v>3</v>
      </c>
      <c r="GF15">
        <v>4.5</v>
      </c>
      <c r="GG15">
        <v>10.47</v>
      </c>
      <c r="GK15">
        <v>139</v>
      </c>
      <c r="GL15">
        <v>62</v>
      </c>
      <c r="GM15">
        <v>83</v>
      </c>
      <c r="GN15">
        <v>63</v>
      </c>
      <c r="GQ15">
        <v>3</v>
      </c>
      <c r="GR15">
        <v>4.8</v>
      </c>
      <c r="GS15">
        <v>11.47</v>
      </c>
      <c r="GW15">
        <v>129</v>
      </c>
      <c r="GX15">
        <v>55</v>
      </c>
      <c r="GY15">
        <v>77</v>
      </c>
      <c r="GZ15">
        <v>58</v>
      </c>
      <c r="HC15">
        <v>3</v>
      </c>
      <c r="HD15">
        <v>5.5</v>
      </c>
      <c r="HE15">
        <v>11.38</v>
      </c>
      <c r="HL15">
        <f t="shared" si="2"/>
        <v>0.23000000000000043</v>
      </c>
      <c r="HM15" s="16">
        <f t="shared" si="3"/>
        <v>2.2286821705426396E-2</v>
      </c>
      <c r="HN15">
        <f t="shared" si="11"/>
        <v>0.3100000000000005</v>
      </c>
      <c r="HO15" s="16">
        <f t="shared" si="12"/>
        <v>3.0511811023622097E-2</v>
      </c>
      <c r="HP15" s="26">
        <f t="shared" si="6"/>
        <v>8.0000000000000071E-2</v>
      </c>
      <c r="HR15" s="16">
        <f>HQ15/FP15</f>
        <v>0</v>
      </c>
      <c r="HS15">
        <f>HE15-GG15</f>
        <v>0.91000000000000014</v>
      </c>
      <c r="HT15">
        <f>EZ15-EE15</f>
        <v>0</v>
      </c>
      <c r="HU15" s="28">
        <v>0</v>
      </c>
      <c r="HW15" s="28"/>
    </row>
    <row r="16" spans="1:231" x14ac:dyDescent="0.35">
      <c r="A16" t="s">
        <v>298</v>
      </c>
      <c r="B16" t="s">
        <v>299</v>
      </c>
      <c r="C16" s="3">
        <v>22164</v>
      </c>
      <c r="D16" s="31">
        <v>26</v>
      </c>
      <c r="E16">
        <v>62</v>
      </c>
      <c r="F16">
        <v>100</v>
      </c>
      <c r="G16">
        <v>175</v>
      </c>
      <c r="H16">
        <f t="shared" si="0"/>
        <v>1.75</v>
      </c>
      <c r="I16">
        <f t="shared" si="1"/>
        <v>32.653061224489797</v>
      </c>
      <c r="J16">
        <v>0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144</v>
      </c>
      <c r="AL16" s="3">
        <v>45117</v>
      </c>
      <c r="AM16" t="s">
        <v>301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44</v>
      </c>
      <c r="AU16">
        <v>9</v>
      </c>
      <c r="AV16">
        <v>4</v>
      </c>
      <c r="AW16">
        <v>1</v>
      </c>
      <c r="AX16">
        <v>1</v>
      </c>
      <c r="AY16">
        <v>2</v>
      </c>
      <c r="AZ16">
        <v>1</v>
      </c>
      <c r="BA16">
        <v>0</v>
      </c>
      <c r="BB16">
        <v>18.600000000000001</v>
      </c>
      <c r="BC16">
        <v>8.1999999999999993</v>
      </c>
      <c r="BD16">
        <v>319</v>
      </c>
      <c r="BE16">
        <v>39</v>
      </c>
      <c r="BF16">
        <v>34.6</v>
      </c>
      <c r="BG16">
        <v>269</v>
      </c>
      <c r="BH16">
        <v>136</v>
      </c>
      <c r="BI16">
        <v>104</v>
      </c>
      <c r="BJ16">
        <v>20</v>
      </c>
      <c r="BK16" t="s">
        <v>144</v>
      </c>
      <c r="BL16" t="s">
        <v>144</v>
      </c>
      <c r="BM16" t="s">
        <v>144</v>
      </c>
      <c r="BN16">
        <v>7.33</v>
      </c>
      <c r="BO16">
        <v>384</v>
      </c>
      <c r="BP16">
        <v>31.5</v>
      </c>
      <c r="BQ16">
        <v>16.7</v>
      </c>
      <c r="BR16">
        <v>3.6</v>
      </c>
      <c r="BS16">
        <v>40</v>
      </c>
      <c r="BT16">
        <v>58</v>
      </c>
      <c r="BU16">
        <v>30</v>
      </c>
      <c r="BV16">
        <v>18</v>
      </c>
      <c r="BW16">
        <v>152</v>
      </c>
      <c r="BX16">
        <v>53</v>
      </c>
      <c r="BY16" s="3">
        <v>45119</v>
      </c>
      <c r="BZ16">
        <v>48</v>
      </c>
      <c r="CA16">
        <v>101.5</v>
      </c>
      <c r="CB16">
        <v>11</v>
      </c>
      <c r="CC16">
        <v>4</v>
      </c>
      <c r="CD16">
        <v>3</v>
      </c>
      <c r="CE16">
        <v>1</v>
      </c>
      <c r="CF16">
        <v>0</v>
      </c>
      <c r="CG16">
        <v>2</v>
      </c>
      <c r="CH16">
        <v>1</v>
      </c>
      <c r="CI16">
        <v>12.7</v>
      </c>
      <c r="CJ16">
        <v>7.6</v>
      </c>
      <c r="CK16">
        <v>113</v>
      </c>
      <c r="CL16" t="s">
        <v>144</v>
      </c>
      <c r="CM16">
        <v>15</v>
      </c>
      <c r="CN16">
        <v>77</v>
      </c>
      <c r="CO16">
        <v>144</v>
      </c>
      <c r="CP16">
        <v>115</v>
      </c>
      <c r="CQ16">
        <v>50</v>
      </c>
      <c r="CR16" t="s">
        <v>282</v>
      </c>
      <c r="CS16" t="s">
        <v>282</v>
      </c>
      <c r="CT16" t="s">
        <v>282</v>
      </c>
      <c r="CU16">
        <v>7.5</v>
      </c>
      <c r="CV16">
        <v>130</v>
      </c>
      <c r="CW16">
        <v>28</v>
      </c>
      <c r="CX16">
        <v>22</v>
      </c>
      <c r="CY16">
        <v>2.1</v>
      </c>
      <c r="CZ16" t="s">
        <v>144</v>
      </c>
      <c r="DA16" t="s">
        <v>144</v>
      </c>
      <c r="DB16">
        <v>29</v>
      </c>
      <c r="DC16">
        <v>25</v>
      </c>
      <c r="DD16">
        <v>322</v>
      </c>
      <c r="DE16">
        <v>21</v>
      </c>
      <c r="DF16" t="s">
        <v>300</v>
      </c>
      <c r="DG16">
        <v>2</v>
      </c>
      <c r="DH16">
        <v>100</v>
      </c>
      <c r="DJ16">
        <v>0</v>
      </c>
      <c r="DK16">
        <v>0</v>
      </c>
      <c r="DM16">
        <v>0</v>
      </c>
      <c r="DN16">
        <v>0</v>
      </c>
      <c r="DO16">
        <v>0</v>
      </c>
      <c r="DP16">
        <v>200</v>
      </c>
      <c r="DQ16">
        <v>10</v>
      </c>
      <c r="DR16">
        <v>0</v>
      </c>
      <c r="DS16">
        <v>0</v>
      </c>
      <c r="DT16">
        <v>94</v>
      </c>
      <c r="DU16">
        <v>48</v>
      </c>
      <c r="DV16">
        <v>61</v>
      </c>
      <c r="DW16">
        <v>108</v>
      </c>
      <c r="DX16">
        <v>39.799999999999997</v>
      </c>
      <c r="DY16">
        <v>0</v>
      </c>
      <c r="DZ16">
        <v>0</v>
      </c>
      <c r="EA16">
        <v>1</v>
      </c>
      <c r="EB16">
        <v>8</v>
      </c>
      <c r="EC16">
        <v>100</v>
      </c>
      <c r="ED16">
        <v>60</v>
      </c>
      <c r="EE16">
        <v>6.7</v>
      </c>
      <c r="EF16">
        <v>60</v>
      </c>
      <c r="EG16">
        <v>20</v>
      </c>
      <c r="EH16">
        <v>100</v>
      </c>
      <c r="EI16">
        <v>0</v>
      </c>
      <c r="EJ16">
        <v>0</v>
      </c>
      <c r="EK16">
        <v>0.7</v>
      </c>
      <c r="EL16">
        <v>6.9</v>
      </c>
      <c r="EM16">
        <v>12</v>
      </c>
      <c r="EN16" t="s">
        <v>144</v>
      </c>
      <c r="EO16" t="s">
        <v>144</v>
      </c>
      <c r="EP16">
        <v>0</v>
      </c>
      <c r="EQ16">
        <v>1.65</v>
      </c>
      <c r="ER16">
        <v>150.55000000000001</v>
      </c>
      <c r="EV16">
        <v>98</v>
      </c>
      <c r="EW16">
        <v>49</v>
      </c>
      <c r="EX16">
        <v>65</v>
      </c>
      <c r="EY16">
        <v>106</v>
      </c>
      <c r="EZ16">
        <v>7</v>
      </c>
      <c r="FA16" t="s">
        <v>144</v>
      </c>
      <c r="FB16">
        <v>0</v>
      </c>
      <c r="FC16">
        <v>2.78</v>
      </c>
      <c r="FD16">
        <v>112.98</v>
      </c>
      <c r="FH16">
        <v>95</v>
      </c>
      <c r="FI16">
        <v>45</v>
      </c>
      <c r="FJ16">
        <v>63</v>
      </c>
      <c r="FK16">
        <v>106</v>
      </c>
      <c r="FL16">
        <v>6</v>
      </c>
      <c r="FM16" t="s">
        <v>144</v>
      </c>
      <c r="FN16">
        <v>0</v>
      </c>
      <c r="FP16">
        <v>130.15</v>
      </c>
      <c r="FT16">
        <v>92</v>
      </c>
      <c r="FU16">
        <v>46</v>
      </c>
      <c r="FV16">
        <v>61</v>
      </c>
      <c r="FW16">
        <v>105</v>
      </c>
      <c r="FX16">
        <v>7.2</v>
      </c>
      <c r="GD16">
        <v>8</v>
      </c>
      <c r="GE16">
        <v>0</v>
      </c>
      <c r="GF16">
        <v>2.0499999999999998</v>
      </c>
      <c r="GG16">
        <v>125.21</v>
      </c>
      <c r="GK16">
        <v>102</v>
      </c>
      <c r="GL16">
        <v>50</v>
      </c>
      <c r="GM16">
        <v>65</v>
      </c>
      <c r="GN16">
        <v>103</v>
      </c>
      <c r="GO16">
        <v>6.8</v>
      </c>
      <c r="GP16">
        <v>4</v>
      </c>
      <c r="GQ16">
        <v>0</v>
      </c>
      <c r="GR16">
        <v>2.15</v>
      </c>
      <c r="GS16">
        <v>122.02</v>
      </c>
      <c r="GW16">
        <v>98</v>
      </c>
      <c r="GX16">
        <v>49</v>
      </c>
      <c r="GY16">
        <v>64</v>
      </c>
      <c r="GZ16">
        <v>101</v>
      </c>
      <c r="HA16">
        <v>6.2</v>
      </c>
      <c r="HB16">
        <v>4</v>
      </c>
      <c r="HC16">
        <v>0</v>
      </c>
      <c r="HD16">
        <v>1.8</v>
      </c>
      <c r="HE16">
        <v>131.30000000000001</v>
      </c>
      <c r="HL16">
        <f t="shared" si="2"/>
        <v>-37.570000000000007</v>
      </c>
      <c r="HM16" s="16">
        <f t="shared" si="3"/>
        <v>-0.24955164397210233</v>
      </c>
      <c r="HN16">
        <f t="shared" si="11"/>
        <v>-4.9400000000000119</v>
      </c>
      <c r="HO16" s="16">
        <f t="shared" si="12"/>
        <v>-3.7956204379562132E-2</v>
      </c>
      <c r="HP16" s="26">
        <f t="shared" si="6"/>
        <v>32.629999999999995</v>
      </c>
      <c r="HR16" s="16">
        <f>HQ16/FP16</f>
        <v>0</v>
      </c>
      <c r="HS16">
        <f>HE16-GG16</f>
        <v>6.0900000000000176</v>
      </c>
      <c r="HT16">
        <f>EZ16-EE16</f>
        <v>0.29999999999999982</v>
      </c>
      <c r="HU16" s="28">
        <f>(HT16/EE16)*100</f>
        <v>4.4776119402985044</v>
      </c>
      <c r="HV16">
        <f>FX16-FL16</f>
        <v>1.2000000000000002</v>
      </c>
      <c r="HW16" s="29">
        <f>(HV16/FL16)*100</f>
        <v>20.000000000000004</v>
      </c>
    </row>
    <row r="17" spans="1:231" x14ac:dyDescent="0.35">
      <c r="A17" t="s">
        <v>357</v>
      </c>
      <c r="B17" t="s">
        <v>358</v>
      </c>
      <c r="C17" s="3">
        <v>16733</v>
      </c>
      <c r="D17" s="31">
        <v>33</v>
      </c>
      <c r="E17">
        <v>77</v>
      </c>
      <c r="F17">
        <v>55</v>
      </c>
      <c r="G17">
        <v>169</v>
      </c>
      <c r="H17">
        <f t="shared" si="0"/>
        <v>1.69</v>
      </c>
      <c r="I17">
        <f t="shared" si="1"/>
        <v>19.257028815517668</v>
      </c>
      <c r="J17">
        <v>0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1</v>
      </c>
      <c r="AC17">
        <v>0</v>
      </c>
      <c r="AD17">
        <v>1</v>
      </c>
      <c r="AE17">
        <v>1</v>
      </c>
      <c r="AF17">
        <v>0</v>
      </c>
      <c r="AL17" s="3">
        <v>45181</v>
      </c>
      <c r="AM17" t="s">
        <v>359</v>
      </c>
      <c r="AO17">
        <v>1</v>
      </c>
      <c r="AP17">
        <v>0</v>
      </c>
      <c r="AQ17">
        <v>0</v>
      </c>
      <c r="AR17">
        <v>0</v>
      </c>
      <c r="AS17">
        <v>0</v>
      </c>
      <c r="AU17">
        <v>8</v>
      </c>
      <c r="AV17">
        <v>4</v>
      </c>
      <c r="AW17">
        <v>0</v>
      </c>
      <c r="AX17">
        <v>2</v>
      </c>
      <c r="AY17">
        <v>2</v>
      </c>
      <c r="AZ17">
        <v>0</v>
      </c>
      <c r="BA17">
        <v>0</v>
      </c>
      <c r="BB17">
        <v>7.6</v>
      </c>
      <c r="BC17">
        <v>11.1</v>
      </c>
      <c r="BD17">
        <v>329</v>
      </c>
      <c r="BE17">
        <v>76</v>
      </c>
      <c r="BF17">
        <v>12</v>
      </c>
      <c r="BG17">
        <v>267</v>
      </c>
      <c r="BH17">
        <v>132</v>
      </c>
      <c r="BI17">
        <v>97</v>
      </c>
      <c r="BJ17">
        <v>11</v>
      </c>
      <c r="BK17">
        <v>288</v>
      </c>
      <c r="BN17">
        <v>7.45</v>
      </c>
      <c r="BO17">
        <v>84</v>
      </c>
      <c r="BP17">
        <v>25</v>
      </c>
      <c r="BQ17">
        <v>17</v>
      </c>
      <c r="BR17">
        <v>5.0999999999999996</v>
      </c>
      <c r="BU17">
        <v>26</v>
      </c>
      <c r="BV17">
        <v>16</v>
      </c>
      <c r="BY17" s="3">
        <v>45181</v>
      </c>
      <c r="BZ17">
        <v>3</v>
      </c>
      <c r="CA17">
        <v>77</v>
      </c>
      <c r="CB17">
        <v>8</v>
      </c>
      <c r="CC17">
        <v>4</v>
      </c>
      <c r="CD17">
        <v>0</v>
      </c>
      <c r="CE17">
        <v>2</v>
      </c>
      <c r="CF17">
        <v>2</v>
      </c>
      <c r="CG17">
        <v>0</v>
      </c>
      <c r="CH17">
        <v>0</v>
      </c>
      <c r="CI17">
        <v>7.6</v>
      </c>
      <c r="CJ17">
        <v>11.1</v>
      </c>
      <c r="CK17">
        <v>329</v>
      </c>
      <c r="CL17">
        <v>76</v>
      </c>
      <c r="CM17">
        <v>12</v>
      </c>
      <c r="CN17">
        <v>267</v>
      </c>
      <c r="CO17">
        <v>132</v>
      </c>
      <c r="CP17">
        <v>97</v>
      </c>
      <c r="CQ17">
        <v>11</v>
      </c>
      <c r="CR17">
        <v>288</v>
      </c>
      <c r="CU17">
        <v>7.45</v>
      </c>
      <c r="CV17">
        <v>84</v>
      </c>
      <c r="CW17">
        <v>25</v>
      </c>
      <c r="CX17">
        <v>17</v>
      </c>
      <c r="CY17">
        <v>5.0999999999999996</v>
      </c>
      <c r="DB17">
        <v>26</v>
      </c>
      <c r="DC17">
        <v>16</v>
      </c>
      <c r="DF17">
        <v>3</v>
      </c>
      <c r="DG17">
        <v>2</v>
      </c>
      <c r="DH17">
        <v>100</v>
      </c>
      <c r="DI17">
        <v>500</v>
      </c>
      <c r="DJ17">
        <v>1</v>
      </c>
      <c r="DK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107</v>
      </c>
      <c r="DU17">
        <v>59</v>
      </c>
      <c r="DV17">
        <v>77</v>
      </c>
      <c r="DW17">
        <v>105</v>
      </c>
      <c r="DX17">
        <v>37.4</v>
      </c>
      <c r="DY17">
        <v>1</v>
      </c>
      <c r="DZ17">
        <v>0</v>
      </c>
      <c r="EA17">
        <v>0</v>
      </c>
      <c r="EB17">
        <v>0</v>
      </c>
      <c r="ED17">
        <v>2</v>
      </c>
      <c r="EQ17">
        <v>4.0999999999999996</v>
      </c>
      <c r="ER17">
        <v>44.3</v>
      </c>
      <c r="EV17">
        <v>110</v>
      </c>
      <c r="EW17">
        <v>65</v>
      </c>
      <c r="EX17">
        <v>83</v>
      </c>
      <c r="EY17">
        <v>105</v>
      </c>
      <c r="FC17">
        <v>3.9</v>
      </c>
      <c r="FD17">
        <v>46.86</v>
      </c>
      <c r="FH17">
        <v>106</v>
      </c>
      <c r="FI17">
        <v>59</v>
      </c>
      <c r="FJ17">
        <v>76</v>
      </c>
      <c r="FK17">
        <v>107</v>
      </c>
      <c r="FO17">
        <v>4.8</v>
      </c>
      <c r="FP17">
        <v>33.81</v>
      </c>
      <c r="FT17">
        <v>101</v>
      </c>
      <c r="FU17">
        <v>55</v>
      </c>
      <c r="FV17">
        <v>73</v>
      </c>
      <c r="FW17">
        <v>103</v>
      </c>
      <c r="GF17">
        <v>3.7</v>
      </c>
      <c r="GG17">
        <v>45.33</v>
      </c>
      <c r="HL17">
        <f t="shared" si="2"/>
        <v>2.5600000000000023</v>
      </c>
      <c r="HM17" s="16">
        <f t="shared" si="3"/>
        <v>5.778781038374723E-2</v>
      </c>
      <c r="HN17">
        <f t="shared" si="11"/>
        <v>11.519999999999996</v>
      </c>
      <c r="HO17" s="16">
        <f t="shared" si="12"/>
        <v>0.34072759538598035</v>
      </c>
      <c r="HP17" s="26">
        <f t="shared" si="6"/>
        <v>8.9599999999999937</v>
      </c>
      <c r="HU17" s="28"/>
      <c r="HW17" s="28"/>
    </row>
    <row r="18" spans="1:231" x14ac:dyDescent="0.35">
      <c r="A18" t="s">
        <v>204</v>
      </c>
      <c r="B18" t="s">
        <v>205</v>
      </c>
      <c r="C18" s="3">
        <v>19614</v>
      </c>
      <c r="D18" s="31">
        <v>35</v>
      </c>
      <c r="E18">
        <v>69</v>
      </c>
      <c r="F18">
        <v>101</v>
      </c>
      <c r="G18">
        <v>169</v>
      </c>
      <c r="H18">
        <f t="shared" si="0"/>
        <v>1.69</v>
      </c>
      <c r="I18">
        <f t="shared" si="1"/>
        <v>35.362907461223351</v>
      </c>
      <c r="J18">
        <v>0</v>
      </c>
      <c r="K18">
        <v>1</v>
      </c>
      <c r="L18">
        <v>2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30</v>
      </c>
      <c r="AH18">
        <v>1</v>
      </c>
      <c r="AI18">
        <v>1</v>
      </c>
      <c r="AJ18">
        <v>0</v>
      </c>
      <c r="AK18">
        <v>1</v>
      </c>
      <c r="AL18" s="3">
        <v>44992</v>
      </c>
      <c r="AM18" t="s">
        <v>41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65</v>
      </c>
      <c r="AU18">
        <v>10</v>
      </c>
      <c r="AV18">
        <v>4</v>
      </c>
      <c r="AW18">
        <v>2</v>
      </c>
      <c r="AX18">
        <v>3</v>
      </c>
      <c r="AY18">
        <v>1</v>
      </c>
      <c r="AZ18">
        <v>0</v>
      </c>
      <c r="BA18">
        <v>0</v>
      </c>
      <c r="BB18">
        <v>16.5</v>
      </c>
      <c r="BC18" t="s">
        <v>206</v>
      </c>
      <c r="BD18">
        <v>359</v>
      </c>
      <c r="BE18">
        <v>63</v>
      </c>
      <c r="BF18" t="s">
        <v>207</v>
      </c>
      <c r="BG18">
        <v>157</v>
      </c>
      <c r="BH18">
        <v>132</v>
      </c>
      <c r="BI18">
        <v>98</v>
      </c>
      <c r="BJ18">
        <v>14</v>
      </c>
      <c r="BK18" t="s">
        <v>144</v>
      </c>
      <c r="BL18" t="s">
        <v>144</v>
      </c>
      <c r="BM18" t="s">
        <v>144</v>
      </c>
      <c r="BN18" t="s">
        <v>208</v>
      </c>
      <c r="BO18">
        <v>209</v>
      </c>
      <c r="BP18">
        <v>29</v>
      </c>
      <c r="BQ18">
        <v>20</v>
      </c>
      <c r="BR18" t="s">
        <v>209</v>
      </c>
      <c r="BS18">
        <v>94</v>
      </c>
      <c r="BT18">
        <v>132</v>
      </c>
      <c r="BU18">
        <v>41</v>
      </c>
      <c r="BV18">
        <v>44</v>
      </c>
      <c r="BW18">
        <v>734</v>
      </c>
      <c r="BX18">
        <v>140</v>
      </c>
      <c r="BY18" s="3">
        <v>45002</v>
      </c>
      <c r="CA18">
        <v>93</v>
      </c>
      <c r="CB18">
        <v>12</v>
      </c>
      <c r="CC18">
        <v>4</v>
      </c>
      <c r="CD18">
        <v>3</v>
      </c>
      <c r="CE18">
        <v>4</v>
      </c>
      <c r="CF18">
        <v>1</v>
      </c>
      <c r="CG18">
        <v>0</v>
      </c>
      <c r="CH18">
        <v>0</v>
      </c>
      <c r="CI18" t="s">
        <v>210</v>
      </c>
      <c r="CJ18" t="s">
        <v>211</v>
      </c>
      <c r="CK18">
        <v>399</v>
      </c>
      <c r="CL18">
        <v>63</v>
      </c>
      <c r="CM18" t="s">
        <v>212</v>
      </c>
      <c r="CN18">
        <v>118</v>
      </c>
      <c r="CO18">
        <v>141</v>
      </c>
      <c r="CP18">
        <v>110</v>
      </c>
      <c r="CQ18">
        <v>12</v>
      </c>
      <c r="CR18" t="s">
        <v>144</v>
      </c>
      <c r="CS18" t="s">
        <v>144</v>
      </c>
      <c r="CT18" t="s">
        <v>144</v>
      </c>
      <c r="CU18" t="s">
        <v>213</v>
      </c>
      <c r="CV18">
        <v>182</v>
      </c>
      <c r="CW18">
        <v>39</v>
      </c>
      <c r="CX18">
        <v>21</v>
      </c>
      <c r="CY18" t="s">
        <v>214</v>
      </c>
      <c r="CZ18" t="s">
        <v>144</v>
      </c>
      <c r="DA18" t="s">
        <v>144</v>
      </c>
      <c r="DB18">
        <v>23</v>
      </c>
      <c r="DC18">
        <v>33</v>
      </c>
      <c r="DD18" t="s">
        <v>144</v>
      </c>
      <c r="DE18" t="s">
        <v>144</v>
      </c>
      <c r="DF18">
        <v>1</v>
      </c>
      <c r="DG18">
        <v>2</v>
      </c>
      <c r="DH18">
        <v>100</v>
      </c>
      <c r="DJ18">
        <v>0</v>
      </c>
      <c r="DK18">
        <v>0</v>
      </c>
      <c r="DL18">
        <v>0.9</v>
      </c>
      <c r="DM18">
        <v>1</v>
      </c>
      <c r="DN18">
        <v>0</v>
      </c>
      <c r="DO18">
        <v>0</v>
      </c>
      <c r="DP18">
        <v>120</v>
      </c>
      <c r="DQ18">
        <v>10</v>
      </c>
      <c r="DR18">
        <v>0</v>
      </c>
      <c r="DS18">
        <v>0</v>
      </c>
      <c r="DT18">
        <v>93</v>
      </c>
      <c r="DU18">
        <v>39</v>
      </c>
      <c r="DV18">
        <v>55</v>
      </c>
      <c r="DW18">
        <v>88</v>
      </c>
      <c r="DX18">
        <v>37</v>
      </c>
      <c r="DY18">
        <v>0</v>
      </c>
      <c r="DZ18">
        <v>0</v>
      </c>
      <c r="EA18">
        <v>1</v>
      </c>
      <c r="EB18">
        <v>10</v>
      </c>
      <c r="EC18">
        <v>100</v>
      </c>
      <c r="ED18">
        <v>60</v>
      </c>
      <c r="EE18">
        <v>4.2</v>
      </c>
      <c r="EF18">
        <v>20</v>
      </c>
      <c r="EG18">
        <v>14</v>
      </c>
      <c r="EH18">
        <v>50</v>
      </c>
      <c r="EI18">
        <v>0</v>
      </c>
      <c r="EJ18">
        <v>0</v>
      </c>
      <c r="EK18">
        <v>1</v>
      </c>
      <c r="EL18">
        <v>16</v>
      </c>
      <c r="EM18">
        <v>5</v>
      </c>
      <c r="EN18" t="s">
        <v>144</v>
      </c>
      <c r="EO18" t="s">
        <v>144</v>
      </c>
      <c r="EP18">
        <v>2</v>
      </c>
      <c r="EQ18">
        <v>3.13</v>
      </c>
      <c r="ER18">
        <v>94.17</v>
      </c>
      <c r="ES18" t="s">
        <v>218</v>
      </c>
      <c r="ET18" t="s">
        <v>219</v>
      </c>
      <c r="EU18" t="s">
        <v>220</v>
      </c>
      <c r="EV18">
        <v>84</v>
      </c>
      <c r="EW18">
        <v>39</v>
      </c>
      <c r="EX18">
        <v>52</v>
      </c>
      <c r="EY18">
        <v>80</v>
      </c>
      <c r="EZ18">
        <v>3.7</v>
      </c>
      <c r="FA18">
        <v>5</v>
      </c>
      <c r="FB18">
        <v>2</v>
      </c>
      <c r="FC18" t="s">
        <v>225</v>
      </c>
      <c r="FD18">
        <v>89.9</v>
      </c>
      <c r="FE18" t="s">
        <v>222</v>
      </c>
      <c r="FF18" t="s">
        <v>223</v>
      </c>
      <c r="FG18" t="s">
        <v>224</v>
      </c>
      <c r="FH18">
        <v>102</v>
      </c>
      <c r="FI18">
        <v>48</v>
      </c>
      <c r="FJ18">
        <v>65</v>
      </c>
      <c r="FK18">
        <v>80</v>
      </c>
      <c r="FL18">
        <v>4.4000000000000004</v>
      </c>
      <c r="FM18">
        <v>5</v>
      </c>
      <c r="FN18">
        <v>2</v>
      </c>
      <c r="FO18" t="s">
        <v>227</v>
      </c>
      <c r="FP18">
        <v>129.34</v>
      </c>
      <c r="FQ18" t="s">
        <v>228</v>
      </c>
      <c r="FR18" t="s">
        <v>229</v>
      </c>
      <c r="FS18" t="s">
        <v>230</v>
      </c>
      <c r="FT18">
        <v>116</v>
      </c>
      <c r="FU18">
        <v>43</v>
      </c>
      <c r="FV18">
        <v>67</v>
      </c>
      <c r="FW18">
        <v>78</v>
      </c>
      <c r="FX18">
        <v>4</v>
      </c>
      <c r="GD18">
        <v>5</v>
      </c>
      <c r="GE18">
        <v>1</v>
      </c>
      <c r="GF18" t="s">
        <v>231</v>
      </c>
      <c r="GG18">
        <v>101.34</v>
      </c>
      <c r="GH18" t="s">
        <v>232</v>
      </c>
      <c r="GI18" t="s">
        <v>233</v>
      </c>
      <c r="GJ18" t="s">
        <v>234</v>
      </c>
      <c r="HI18">
        <v>1</v>
      </c>
      <c r="HJ18">
        <v>1</v>
      </c>
      <c r="HK18" s="3">
        <v>45028</v>
      </c>
      <c r="HL18">
        <f t="shared" si="2"/>
        <v>-4.269999999999996</v>
      </c>
      <c r="HM18" s="16">
        <f t="shared" si="3"/>
        <v>-4.5343527662737561E-2</v>
      </c>
      <c r="HN18">
        <f t="shared" si="11"/>
        <v>-28</v>
      </c>
      <c r="HO18" s="16">
        <f t="shared" si="12"/>
        <v>-0.21648368640791713</v>
      </c>
      <c r="HP18" s="26">
        <f t="shared" si="6"/>
        <v>-23.730000000000004</v>
      </c>
      <c r="HR18" s="16"/>
      <c r="HT18">
        <f>EZ18-EE18</f>
        <v>-0.5</v>
      </c>
      <c r="HU18" s="28">
        <f>(HT18/EE18)*100</f>
        <v>-11.904761904761903</v>
      </c>
      <c r="HV18">
        <f>FX18-FL18</f>
        <v>-0.40000000000000036</v>
      </c>
      <c r="HW18" s="28">
        <f>(HV18/FL18)*100</f>
        <v>-9.0909090909090988</v>
      </c>
    </row>
    <row r="19" spans="1:231" x14ac:dyDescent="0.35">
      <c r="A19" t="s">
        <v>354</v>
      </c>
      <c r="B19" t="s">
        <v>355</v>
      </c>
      <c r="C19" s="3">
        <v>13420</v>
      </c>
      <c r="D19" s="31">
        <v>43</v>
      </c>
      <c r="E19">
        <v>86</v>
      </c>
      <c r="F19">
        <v>51</v>
      </c>
      <c r="G19">
        <v>160</v>
      </c>
      <c r="H19">
        <f t="shared" si="0"/>
        <v>1.6</v>
      </c>
      <c r="I19">
        <f t="shared" si="1"/>
        <v>19.921874999999996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L19" s="3">
        <v>45184</v>
      </c>
      <c r="AM19" t="s">
        <v>356</v>
      </c>
      <c r="AO19">
        <v>0</v>
      </c>
      <c r="AP19">
        <v>0</v>
      </c>
      <c r="AQ19">
        <v>0</v>
      </c>
      <c r="AR19">
        <v>0</v>
      </c>
      <c r="AS19">
        <v>0</v>
      </c>
      <c r="AU19">
        <v>4</v>
      </c>
      <c r="AV19">
        <v>1</v>
      </c>
      <c r="AW19">
        <v>0</v>
      </c>
      <c r="AX19">
        <v>3</v>
      </c>
      <c r="AY19">
        <v>0</v>
      </c>
      <c r="AZ19">
        <v>0</v>
      </c>
      <c r="BA19">
        <v>0</v>
      </c>
      <c r="BB19">
        <v>12.78</v>
      </c>
      <c r="BC19">
        <v>9.1</v>
      </c>
      <c r="BD19">
        <v>311</v>
      </c>
      <c r="BE19">
        <v>58</v>
      </c>
      <c r="BF19">
        <v>5.5</v>
      </c>
      <c r="BG19">
        <v>53</v>
      </c>
      <c r="BH19">
        <v>139</v>
      </c>
      <c r="BI19">
        <v>104</v>
      </c>
      <c r="BJ19">
        <v>9</v>
      </c>
      <c r="BK19">
        <v>100</v>
      </c>
      <c r="BN19">
        <v>7.51</v>
      </c>
      <c r="BO19">
        <v>496</v>
      </c>
      <c r="BP19">
        <v>34</v>
      </c>
      <c r="BQ19">
        <v>26</v>
      </c>
      <c r="BR19">
        <v>0.6</v>
      </c>
      <c r="BS19">
        <v>100</v>
      </c>
      <c r="BT19">
        <v>146</v>
      </c>
      <c r="BU19">
        <v>25</v>
      </c>
      <c r="BV19">
        <v>9</v>
      </c>
      <c r="BW19">
        <v>436</v>
      </c>
      <c r="BX19">
        <v>121</v>
      </c>
      <c r="BY19" s="3">
        <v>45184</v>
      </c>
      <c r="BZ19">
        <v>5</v>
      </c>
      <c r="CA19">
        <v>51</v>
      </c>
      <c r="CB19">
        <v>4</v>
      </c>
      <c r="CC19">
        <v>1</v>
      </c>
      <c r="CD19">
        <v>0</v>
      </c>
      <c r="CE19">
        <v>3</v>
      </c>
      <c r="CF19">
        <v>0</v>
      </c>
      <c r="CG19">
        <v>0</v>
      </c>
      <c r="CH19">
        <v>0</v>
      </c>
      <c r="CI19">
        <v>12.78</v>
      </c>
      <c r="CJ19">
        <v>9.1</v>
      </c>
      <c r="CK19">
        <v>311</v>
      </c>
      <c r="CL19">
        <v>58</v>
      </c>
      <c r="CM19">
        <v>5.5</v>
      </c>
      <c r="CN19">
        <v>53</v>
      </c>
      <c r="CO19">
        <v>139</v>
      </c>
      <c r="CP19">
        <v>104</v>
      </c>
      <c r="CQ19">
        <v>9</v>
      </c>
      <c r="CR19">
        <v>100</v>
      </c>
      <c r="CU19">
        <v>7.51</v>
      </c>
      <c r="CV19">
        <v>496</v>
      </c>
      <c r="CW19">
        <v>34</v>
      </c>
      <c r="CX19">
        <v>26</v>
      </c>
      <c r="CY19">
        <v>0.6</v>
      </c>
      <c r="CZ19">
        <v>100</v>
      </c>
      <c r="DA19">
        <v>146</v>
      </c>
      <c r="DB19">
        <v>25</v>
      </c>
      <c r="DC19">
        <v>9</v>
      </c>
      <c r="DD19">
        <v>436</v>
      </c>
      <c r="DE19">
        <v>121</v>
      </c>
      <c r="DF19">
        <v>2</v>
      </c>
      <c r="DG19">
        <v>1</v>
      </c>
      <c r="DH19">
        <v>500</v>
      </c>
      <c r="DJ19">
        <v>0</v>
      </c>
      <c r="DK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107</v>
      </c>
      <c r="DU19">
        <v>61</v>
      </c>
      <c r="DV19">
        <v>74</v>
      </c>
      <c r="DW19">
        <v>107</v>
      </c>
      <c r="DX19">
        <v>38.6</v>
      </c>
      <c r="DY19">
        <v>0</v>
      </c>
      <c r="DZ19">
        <v>0</v>
      </c>
      <c r="EA19">
        <v>1</v>
      </c>
      <c r="EB19">
        <v>5</v>
      </c>
      <c r="EC19">
        <v>21</v>
      </c>
      <c r="ED19">
        <v>60</v>
      </c>
      <c r="EE19">
        <v>7.5</v>
      </c>
      <c r="EF19">
        <v>40</v>
      </c>
      <c r="EG19">
        <v>6</v>
      </c>
      <c r="EH19">
        <v>50</v>
      </c>
      <c r="EI19">
        <v>0</v>
      </c>
      <c r="EJ19">
        <v>0</v>
      </c>
      <c r="EK19" t="s">
        <v>144</v>
      </c>
      <c r="EL19" t="s">
        <v>144</v>
      </c>
      <c r="EM19" t="s">
        <v>144</v>
      </c>
      <c r="EN19" t="s">
        <v>144</v>
      </c>
      <c r="EO19" t="s">
        <v>144</v>
      </c>
      <c r="EP19">
        <v>3</v>
      </c>
      <c r="EQ19">
        <v>3.9</v>
      </c>
      <c r="ER19">
        <v>24.31</v>
      </c>
      <c r="ES19">
        <v>2.8</v>
      </c>
      <c r="ET19">
        <v>16.399999999999999</v>
      </c>
      <c r="EU19">
        <v>36</v>
      </c>
      <c r="EV19">
        <v>126</v>
      </c>
      <c r="EW19">
        <v>76</v>
      </c>
      <c r="EX19">
        <v>89</v>
      </c>
      <c r="EY19">
        <v>105</v>
      </c>
      <c r="EZ19">
        <v>8.1999999999999993</v>
      </c>
      <c r="FB19">
        <v>3</v>
      </c>
      <c r="FC19">
        <v>3.9</v>
      </c>
      <c r="FD19">
        <v>25.44</v>
      </c>
      <c r="FH19">
        <v>117</v>
      </c>
      <c r="FI19">
        <v>69</v>
      </c>
      <c r="FJ19">
        <v>82</v>
      </c>
      <c r="FK19">
        <v>102</v>
      </c>
      <c r="FL19">
        <v>7.2</v>
      </c>
      <c r="FN19">
        <v>3</v>
      </c>
      <c r="FO19">
        <v>3.9</v>
      </c>
      <c r="FP19">
        <v>27.8</v>
      </c>
      <c r="FT19">
        <v>105</v>
      </c>
      <c r="FU19">
        <v>68</v>
      </c>
      <c r="FV19">
        <v>80</v>
      </c>
      <c r="FW19">
        <v>100</v>
      </c>
      <c r="FX19">
        <v>8.1</v>
      </c>
      <c r="FY19">
        <v>40</v>
      </c>
      <c r="GE19">
        <v>3</v>
      </c>
      <c r="GF19">
        <v>3.5</v>
      </c>
      <c r="GG19">
        <v>29.24</v>
      </c>
      <c r="HL19">
        <f t="shared" si="2"/>
        <v>1.1300000000000026</v>
      </c>
      <c r="HM19" s="16">
        <f t="shared" si="3"/>
        <v>4.6482928835870123E-2</v>
      </c>
      <c r="HN19">
        <f t="shared" si="11"/>
        <v>1.4399999999999977</v>
      </c>
      <c r="HO19" s="16">
        <f t="shared" si="12"/>
        <v>5.1798561151079052E-2</v>
      </c>
      <c r="HP19" s="26">
        <f t="shared" si="6"/>
        <v>0.30999999999999517</v>
      </c>
      <c r="HT19">
        <f>EZ19-EE19</f>
        <v>0.69999999999999929</v>
      </c>
      <c r="HU19" s="28">
        <f>(HT19/EE19)*100</f>
        <v>9.3333333333333233</v>
      </c>
      <c r="HV19">
        <f>FX19-FL19</f>
        <v>0.89999999999999947</v>
      </c>
      <c r="HW19" s="28">
        <f>(HV19/FL19)*100</f>
        <v>12.499999999999991</v>
      </c>
    </row>
    <row r="23" spans="1:231" x14ac:dyDescent="0.35">
      <c r="A23" t="s">
        <v>402</v>
      </c>
      <c r="D23">
        <f>MEDIAN(D3:D19)</f>
        <v>45</v>
      </c>
      <c r="E23">
        <f>MEDIAN(E3:E19)</f>
        <v>74</v>
      </c>
      <c r="F23">
        <f t="shared" ref="F23:I23" si="13">MEDIAN(F3:F19)</f>
        <v>64</v>
      </c>
      <c r="G23">
        <f t="shared" si="13"/>
        <v>169</v>
      </c>
      <c r="H23">
        <f t="shared" si="13"/>
        <v>1.69</v>
      </c>
      <c r="I23">
        <f t="shared" si="13"/>
        <v>22.275309917355372</v>
      </c>
      <c r="AU23">
        <f t="shared" ref="AU23" si="14">MEDIAN(AU3:AU19)</f>
        <v>8</v>
      </c>
      <c r="BZ23">
        <f t="shared" ref="BZ23" si="15">MEDIAN(BZ3:BZ19)</f>
        <v>15.5</v>
      </c>
      <c r="CY23">
        <f t="shared" ref="CY23" si="16">MEDIAN(CY3:CY19)</f>
        <v>2</v>
      </c>
      <c r="DI23">
        <f t="shared" ref="DI23" si="17">MEDIAN(DI3:DI19)</f>
        <v>1500</v>
      </c>
      <c r="DL23">
        <f t="shared" ref="DL23" si="18">MEDIAN(DL3:DL19)</f>
        <v>0.35</v>
      </c>
      <c r="DV23">
        <f t="shared" ref="DV23:DW23" si="19">MEDIAN(DV3:DV19)</f>
        <v>74</v>
      </c>
      <c r="DW23">
        <f t="shared" si="19"/>
        <v>105</v>
      </c>
      <c r="EE23">
        <f t="shared" ref="EE23" si="20">MEDIAN(EE3:EE19)</f>
        <v>4.5999999999999996</v>
      </c>
      <c r="EQ23">
        <f t="shared" ref="EQ23:ER23" si="21">MEDIAN(EQ3:EQ19)</f>
        <v>3.38</v>
      </c>
      <c r="ER23">
        <f t="shared" si="21"/>
        <v>24.31</v>
      </c>
    </row>
    <row r="24" spans="1:231" x14ac:dyDescent="0.35">
      <c r="A24" t="s">
        <v>397</v>
      </c>
      <c r="D24">
        <f>_xlfn.QUARTILE.INC(D3:D19,1)</f>
        <v>38</v>
      </c>
      <c r="E24">
        <f>_xlfn.QUARTILE.INC(E3:E19,1)</f>
        <v>62</v>
      </c>
      <c r="F24">
        <f t="shared" ref="F24:I24" si="22">_xlfn.QUARTILE.INC(F3:F19,1)</f>
        <v>58</v>
      </c>
      <c r="G24">
        <f t="shared" si="22"/>
        <v>165</v>
      </c>
      <c r="H24">
        <f t="shared" si="22"/>
        <v>1.65</v>
      </c>
      <c r="I24">
        <f t="shared" si="22"/>
        <v>19.921874999999996</v>
      </c>
      <c r="AU24">
        <f t="shared" ref="AU24" si="23">_xlfn.QUARTILE.INC(AU3:AU19,1)</f>
        <v>7</v>
      </c>
      <c r="BZ24">
        <f t="shared" ref="BZ24" si="24">_xlfn.QUARTILE.INC(BZ3:BZ19,1)</f>
        <v>5.5</v>
      </c>
      <c r="CY24">
        <f t="shared" ref="CY24" si="25">_xlfn.QUARTILE.INC(CY3:CY19,1)</f>
        <v>1.2</v>
      </c>
      <c r="DI24">
        <f t="shared" ref="DI24" si="26">_xlfn.QUARTILE.INC(DI3:DI19,1)</f>
        <v>1000</v>
      </c>
      <c r="DL24">
        <f t="shared" ref="DL24" si="27">_xlfn.QUARTILE.INC(DL3:DL19,1)</f>
        <v>0.16749999999999998</v>
      </c>
      <c r="DV24">
        <f t="shared" ref="DV24:DW24" si="28">_xlfn.QUARTILE.INC(DV3:DV19,1)</f>
        <v>65</v>
      </c>
      <c r="DW24">
        <f t="shared" si="28"/>
        <v>81</v>
      </c>
      <c r="EE24">
        <f t="shared" ref="EE24" si="29">_xlfn.QUARTILE.INC(EE3:EE19,1)</f>
        <v>3.7</v>
      </c>
      <c r="EQ24">
        <f t="shared" ref="EQ24:ER24" si="30">_xlfn.QUARTILE.INC(EQ3:EQ19,1)</f>
        <v>2.4</v>
      </c>
      <c r="ER24">
        <f t="shared" si="30"/>
        <v>12.3</v>
      </c>
    </row>
    <row r="25" spans="1:231" x14ac:dyDescent="0.35">
      <c r="A25" t="s">
        <v>398</v>
      </c>
      <c r="D25">
        <f>_xlfn.QUARTILE.INC(D3:D19,3)</f>
        <v>63</v>
      </c>
      <c r="E25">
        <f>_xlfn.QUARTILE.INC(E3:E19,3)</f>
        <v>76</v>
      </c>
      <c r="F25">
        <f t="shared" ref="F25:I25" si="31">_xlfn.QUARTILE.INC(F3:F19,3)</f>
        <v>79.025000000000006</v>
      </c>
      <c r="G25">
        <f t="shared" si="31"/>
        <v>175</v>
      </c>
      <c r="H25">
        <f t="shared" si="31"/>
        <v>1.75</v>
      </c>
      <c r="I25">
        <f t="shared" si="31"/>
        <v>27.885187388459254</v>
      </c>
      <c r="AU25">
        <f t="shared" ref="AU25" si="32">_xlfn.QUARTILE.INC(AU3:AU19,3)</f>
        <v>11</v>
      </c>
      <c r="BZ25">
        <f t="shared" ref="BZ25" si="33">_xlfn.QUARTILE.INC(BZ3:BZ19,3)</f>
        <v>32</v>
      </c>
      <c r="CY25">
        <f t="shared" ref="CY25" si="34">_xlfn.QUARTILE.INC(CY3:CY19,3)</f>
        <v>4.375</v>
      </c>
      <c r="DI25">
        <f t="shared" ref="DI25" si="35">_xlfn.QUARTILE.INC(DI3:DI19,3)</f>
        <v>2000</v>
      </c>
      <c r="DL25">
        <f t="shared" ref="DL25" si="36">_xlfn.QUARTILE.INC(DL3:DL19,3)</f>
        <v>0.5</v>
      </c>
      <c r="DV25">
        <f t="shared" ref="DV25:DW25" si="37">_xlfn.QUARTILE.INC(DV3:DV19,3)</f>
        <v>78</v>
      </c>
      <c r="DW25">
        <f t="shared" si="37"/>
        <v>121</v>
      </c>
      <c r="EE25">
        <f t="shared" ref="EE25" si="38">_xlfn.QUARTILE.INC(EE3:EE19,3)</f>
        <v>6.3</v>
      </c>
      <c r="EQ25">
        <f t="shared" ref="EQ25:ER25" si="39">_xlfn.QUARTILE.INC(EQ3:EQ19,3)</f>
        <v>5.01</v>
      </c>
      <c r="ER25">
        <f t="shared" si="39"/>
        <v>94.17</v>
      </c>
    </row>
    <row r="26" spans="1:231" x14ac:dyDescent="0.35">
      <c r="A26" t="s">
        <v>399</v>
      </c>
      <c r="J26">
        <f>COUNTIF(J3:J19,1)</f>
        <v>8</v>
      </c>
      <c r="DJ26">
        <f>COUNTIF(DJ3:DJ19,1)</f>
        <v>13</v>
      </c>
      <c r="DM26">
        <f>COUNTIF(DM3:DM19,1)</f>
        <v>8</v>
      </c>
      <c r="DY26">
        <f>COUNTIF(DY3:DY19,1)</f>
        <v>6</v>
      </c>
    </row>
    <row r="27" spans="1:231" x14ac:dyDescent="0.35">
      <c r="A27" t="s">
        <v>401</v>
      </c>
      <c r="J27">
        <f>COUNT(J3:J19)</f>
        <v>17</v>
      </c>
      <c r="DJ27">
        <f>COUNT(DJ3:DJ19)</f>
        <v>17</v>
      </c>
      <c r="DM27">
        <f>COUNT(DM3:DM19)</f>
        <v>17</v>
      </c>
      <c r="DY27">
        <f>COUNT(DY3:DY19)</f>
        <v>17</v>
      </c>
    </row>
    <row r="28" spans="1:231" x14ac:dyDescent="0.35">
      <c r="A28" t="s">
        <v>335</v>
      </c>
      <c r="J28" s="16">
        <f>J26/J27</f>
        <v>0.47058823529411764</v>
      </c>
      <c r="DJ28" s="16">
        <f>DJ26/DJ27</f>
        <v>0.76470588235294112</v>
      </c>
      <c r="DM28" s="16">
        <f>DM26/DM27</f>
        <v>0.47058823529411764</v>
      </c>
      <c r="DY28" s="16">
        <f>DY26/DY27</f>
        <v>0.35294117647058826</v>
      </c>
    </row>
  </sheetData>
  <autoFilter ref="A2:HW2" xr:uid="{00000000-0001-0000-0500-000000000000}">
    <sortState ref="A3:HW19">
      <sortCondition ref="A2"/>
    </sortState>
  </autoFilter>
  <mergeCells count="6">
    <mergeCell ref="GW1:HH1"/>
    <mergeCell ref="DL1:EU1"/>
    <mergeCell ref="EV1:FG1"/>
    <mergeCell ref="FH1:FS1"/>
    <mergeCell ref="FT1:GJ1"/>
    <mergeCell ref="GK1:G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albumine</vt:lpstr>
      <vt:lpstr>cristalloide</vt:lpstr>
      <vt:lpstr>NR (seuil 15%)</vt:lpstr>
      <vt:lpstr>R (seuil 15%)</vt:lpstr>
      <vt:lpstr>R (seuil 15PU)</vt:lpstr>
      <vt:lpstr>NR (seuil 15PU)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Dan Istrate</cp:lastModifiedBy>
  <dcterms:created xsi:type="dcterms:W3CDTF">2023-02-28T15:51:59Z</dcterms:created>
  <dcterms:modified xsi:type="dcterms:W3CDTF">2025-11-24T16:32:32Z</dcterms:modified>
</cp:coreProperties>
</file>